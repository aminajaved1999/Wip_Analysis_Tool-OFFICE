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"/>
    </mc:Choice>
  </mc:AlternateContent>
  <bookViews>
    <workbookView xWindow="0" yWindow="0" windowWidth="15315" windowHeight="7260" activeTab="1"/>
  </bookViews>
  <sheets>
    <sheet name="CALCULATE WIP MANNUALLY" sheetId="2" r:id="rId1"/>
    <sheet name="B06XW4B59J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3" l="1"/>
  <c r="I2" i="3"/>
  <c r="I3" i="3" s="1"/>
  <c r="J3" i="3" s="1"/>
  <c r="I4" i="3" s="1"/>
  <c r="J4" i="3" s="1"/>
  <c r="I7" i="2"/>
  <c r="J6" i="2"/>
  <c r="I6" i="2"/>
  <c r="I5" i="2"/>
  <c r="F10" i="2"/>
  <c r="I2" i="2"/>
  <c r="I5" i="3" l="1"/>
  <c r="J6" i="3" s="1"/>
  <c r="I7" i="3" s="1"/>
  <c r="C13" i="3" s="1"/>
  <c r="I3" i="2"/>
  <c r="J3" i="2" s="1"/>
  <c r="I6" i="3" l="1"/>
  <c r="I4" i="2"/>
  <c r="J4" i="2" s="1"/>
  <c r="C13" i="2" l="1"/>
</calcChain>
</file>

<file path=xl/sharedStrings.xml><?xml version="1.0" encoding="utf-8"?>
<sst xmlns="http://schemas.openxmlformats.org/spreadsheetml/2006/main" count="36" uniqueCount="18">
  <si>
    <t>casepack =</t>
  </si>
  <si>
    <t>system =</t>
  </si>
  <si>
    <t>Forecast</t>
  </si>
  <si>
    <t>Jun (target month)</t>
  </si>
  <si>
    <t>WIP</t>
  </si>
  <si>
    <t>May</t>
  </si>
  <si>
    <t>Wip</t>
  </si>
  <si>
    <t>Apr</t>
  </si>
  <si>
    <t xml:space="preserve">value * casepack = </t>
  </si>
  <si>
    <t>Mar (issue month)</t>
  </si>
  <si>
    <t>reviewwip / casepack =</t>
  </si>
  <si>
    <t>133% - stock =</t>
  </si>
  <si>
    <t>Order</t>
  </si>
  <si>
    <t xml:space="preserve">remaining stock = </t>
  </si>
  <si>
    <t>Stock</t>
  </si>
  <si>
    <t>B06XW4364Y</t>
  </si>
  <si>
    <t>umarsb = 60</t>
  </si>
  <si>
    <t>B06XW4B59J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</si>
</sst>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Fill="1"/>
    <xf numFmtId="9" fontId="1" fillId="0" borderId="0" xfId="1" applyNumberFormat="1"/>
    <xf numFmtId="0" fontId="1" fillId="2" borderId="0" xfId="1" applyFill="1"/>
    <xf numFmtId="1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205" zoomScaleNormal="205" workbookViewId="0">
      <selection activeCell="J10" sqref="A1:XFD1048576"/>
    </sheetView>
  </sheetViews>
  <sheetFormatPr defaultRowHeight="15" x14ac:dyDescent="0.25"/>
  <cols>
    <col min="1" max="1" width="18" style="1" customWidth="1"/>
    <col min="2" max="7" width="9.140625" style="1"/>
    <col min="8" max="8" width="22.42578125" style="1" customWidth="1"/>
    <col min="9" max="9" width="10.5703125" style="1" customWidth="1"/>
    <col min="10" max="16384" width="9.140625" style="1"/>
  </cols>
  <sheetData>
    <row r="1" spans="1:10" x14ac:dyDescent="0.25">
      <c r="A1" t="s">
        <v>15</v>
      </c>
    </row>
    <row r="2" spans="1:10" x14ac:dyDescent="0.25">
      <c r="A2" s="2"/>
      <c r="I2" s="1">
        <f>C7+B4-B5</f>
        <v>48</v>
      </c>
    </row>
    <row r="3" spans="1:10" x14ac:dyDescent="0.25">
      <c r="A3" s="2"/>
      <c r="I3" s="1">
        <f>I2+C8-F8</f>
        <v>56</v>
      </c>
      <c r="J3" s="1">
        <f>IF(I3&lt;0,0,I3)</f>
        <v>56</v>
      </c>
    </row>
    <row r="4" spans="1:10" x14ac:dyDescent="0.25">
      <c r="A4" s="1" t="s">
        <v>14</v>
      </c>
      <c r="B4" s="5">
        <v>36</v>
      </c>
      <c r="H4" s="2" t="s">
        <v>13</v>
      </c>
      <c r="I4" s="1">
        <f>J3+C9-F9</f>
        <v>25</v>
      </c>
      <c r="J4" s="1">
        <f>IF(I4&lt;0,0,I4)</f>
        <v>25</v>
      </c>
    </row>
    <row r="5" spans="1:10" x14ac:dyDescent="0.25">
      <c r="A5" s="1" t="s">
        <v>12</v>
      </c>
      <c r="B5" s="5">
        <v>36</v>
      </c>
      <c r="H5" s="2" t="s">
        <v>11</v>
      </c>
      <c r="I5" s="1">
        <f>F10-J4</f>
        <v>38</v>
      </c>
    </row>
    <row r="6" spans="1:10" x14ac:dyDescent="0.25">
      <c r="D6" s="3"/>
      <c r="H6" s="2" t="s">
        <v>10</v>
      </c>
      <c r="I6" s="1">
        <f>ROUNDDOWN(I5/F13,0)</f>
        <v>3</v>
      </c>
      <c r="J6" s="6">
        <f>ROUNDUP(I5/F13,0)</f>
        <v>4</v>
      </c>
    </row>
    <row r="7" spans="1:10" x14ac:dyDescent="0.25">
      <c r="A7" s="1" t="s">
        <v>9</v>
      </c>
      <c r="B7" s="1" t="s">
        <v>4</v>
      </c>
      <c r="C7" s="5">
        <v>48</v>
      </c>
      <c r="D7" s="3"/>
      <c r="H7" s="2" t="s">
        <v>8</v>
      </c>
      <c r="I7" s="1">
        <f>J6*F13</f>
        <v>48</v>
      </c>
    </row>
    <row r="8" spans="1:10" x14ac:dyDescent="0.25">
      <c r="A8" s="1" t="s">
        <v>7</v>
      </c>
      <c r="B8" s="1" t="s">
        <v>6</v>
      </c>
      <c r="C8" s="5">
        <v>72</v>
      </c>
      <c r="D8" s="3"/>
      <c r="E8" s="4">
        <v>1.33</v>
      </c>
      <c r="F8" s="1">
        <v>64</v>
      </c>
    </row>
    <row r="9" spans="1:10" x14ac:dyDescent="0.25">
      <c r="A9" s="1" t="s">
        <v>5</v>
      </c>
      <c r="B9" s="1" t="s">
        <v>4</v>
      </c>
      <c r="C9" s="5">
        <v>48</v>
      </c>
      <c r="D9" s="3"/>
      <c r="E9" s="4">
        <v>1.33</v>
      </c>
      <c r="F9" s="1">
        <v>79</v>
      </c>
    </row>
    <row r="10" spans="1:10" x14ac:dyDescent="0.25">
      <c r="A10" s="1" t="s">
        <v>3</v>
      </c>
      <c r="B10" s="1" t="s">
        <v>2</v>
      </c>
      <c r="C10" s="5">
        <v>48</v>
      </c>
      <c r="D10" s="3"/>
      <c r="E10" s="4">
        <v>1.33</v>
      </c>
      <c r="F10" s="1">
        <f>ROUNDDOWN(C10*33/100+C10,0)</f>
        <v>63</v>
      </c>
    </row>
    <row r="11" spans="1:10" x14ac:dyDescent="0.25">
      <c r="D11" s="3"/>
    </row>
    <row r="13" spans="1:10" x14ac:dyDescent="0.25">
      <c r="A13" s="2" t="s">
        <v>16</v>
      </c>
      <c r="B13" s="2" t="s">
        <v>1</v>
      </c>
      <c r="C13" s="1">
        <f>I7</f>
        <v>48</v>
      </c>
      <c r="E13" s="2" t="s">
        <v>0</v>
      </c>
      <c r="F13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="190" zoomScaleNormal="190" workbookViewId="0">
      <selection activeCell="F14" sqref="F14"/>
    </sheetView>
  </sheetViews>
  <sheetFormatPr defaultRowHeight="15" x14ac:dyDescent="0.25"/>
  <cols>
    <col min="1" max="1" width="18" style="1" customWidth="1"/>
    <col min="2" max="7" width="9.140625" style="1"/>
    <col min="8" max="8" width="22.42578125" style="1" customWidth="1"/>
    <col min="9" max="9" width="10.5703125" style="1" customWidth="1"/>
    <col min="10" max="16384" width="9.140625" style="1"/>
  </cols>
  <sheetData>
    <row r="1" spans="1:10" x14ac:dyDescent="0.25">
      <c r="A1" t="s">
        <v>17</v>
      </c>
    </row>
    <row r="2" spans="1:10" x14ac:dyDescent="0.25">
      <c r="A2" s="2"/>
      <c r="I2" s="1">
        <f>C7+B4-B5</f>
        <v>17</v>
      </c>
    </row>
    <row r="3" spans="1:10" x14ac:dyDescent="0.25">
      <c r="A3" s="2"/>
      <c r="I3" s="1">
        <f>I2+C8-F8</f>
        <v>32</v>
      </c>
      <c r="J3" s="1">
        <f>IF(I3&lt;0,0,I3)</f>
        <v>32</v>
      </c>
    </row>
    <row r="4" spans="1:10" x14ac:dyDescent="0.25">
      <c r="A4" s="1" t="s">
        <v>14</v>
      </c>
      <c r="B4" s="5">
        <v>369</v>
      </c>
      <c r="H4" s="2" t="s">
        <v>13</v>
      </c>
      <c r="I4" s="1">
        <f>J3+C9-F9</f>
        <v>7</v>
      </c>
      <c r="J4" s="1">
        <f>IF(I4&lt;0,0,I4)</f>
        <v>7</v>
      </c>
    </row>
    <row r="5" spans="1:10" x14ac:dyDescent="0.25">
      <c r="A5" s="1" t="s">
        <v>12</v>
      </c>
      <c r="B5" s="5">
        <v>896</v>
      </c>
      <c r="H5" s="2" t="s">
        <v>11</v>
      </c>
      <c r="I5" s="1">
        <f>F10-J4</f>
        <v>439</v>
      </c>
    </row>
    <row r="6" spans="1:10" x14ac:dyDescent="0.25">
      <c r="D6" s="3"/>
      <c r="H6" s="2" t="s">
        <v>10</v>
      </c>
      <c r="I6" s="1">
        <f>ROUNDDOWN(I5/F13,0)</f>
        <v>27</v>
      </c>
      <c r="J6" s="6">
        <f>ROUNDUP(I5/F13,0)</f>
        <v>28</v>
      </c>
    </row>
    <row r="7" spans="1:10" x14ac:dyDescent="0.25">
      <c r="A7" s="1" t="s">
        <v>9</v>
      </c>
      <c r="B7" s="1" t="s">
        <v>4</v>
      </c>
      <c r="C7" s="5">
        <v>544</v>
      </c>
      <c r="D7" s="3"/>
      <c r="H7" s="2" t="s">
        <v>8</v>
      </c>
      <c r="I7" s="1">
        <f>J6*F13</f>
        <v>448</v>
      </c>
    </row>
    <row r="8" spans="1:10" x14ac:dyDescent="0.25">
      <c r="A8" s="1" t="s">
        <v>7</v>
      </c>
      <c r="B8" s="1" t="s">
        <v>6</v>
      </c>
      <c r="C8" s="5">
        <v>1185</v>
      </c>
      <c r="D8" s="3"/>
      <c r="E8" s="4">
        <v>1.33</v>
      </c>
      <c r="F8" s="1">
        <v>1170</v>
      </c>
    </row>
    <row r="9" spans="1:10" x14ac:dyDescent="0.25">
      <c r="A9" s="1" t="s">
        <v>5</v>
      </c>
      <c r="B9" s="1" t="s">
        <v>4</v>
      </c>
      <c r="C9" s="5">
        <v>592</v>
      </c>
      <c r="D9" s="3"/>
      <c r="E9" s="4">
        <v>1.33</v>
      </c>
      <c r="F9" s="1">
        <v>617</v>
      </c>
    </row>
    <row r="10" spans="1:10" x14ac:dyDescent="0.25">
      <c r="A10" s="1" t="s">
        <v>3</v>
      </c>
      <c r="B10" s="1" t="s">
        <v>2</v>
      </c>
      <c r="C10" s="5">
        <v>336</v>
      </c>
      <c r="D10" s="3"/>
      <c r="E10" s="4">
        <v>1.33</v>
      </c>
      <c r="F10" s="1">
        <f>ROUNDDOWN(C10*33/100+C10,0)</f>
        <v>446</v>
      </c>
    </row>
    <row r="11" spans="1:10" x14ac:dyDescent="0.25">
      <c r="D11" s="3"/>
    </row>
    <row r="13" spans="1:10" x14ac:dyDescent="0.25">
      <c r="A13" s="2" t="s">
        <v>16</v>
      </c>
      <c r="B13" s="2" t="s">
        <v>1</v>
      </c>
      <c r="C13" s="1">
        <f>I7</f>
        <v>448</v>
      </c>
      <c r="E13" s="2" t="s">
        <v>0</v>
      </c>
      <c r="F13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 WIP MANNUALLY</vt:lpstr>
      <vt:lpstr>B06XW4B59J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2026-04-27T06:51:14Z</dcterms:created>
  <dcterms:modified xsi:type="dcterms:W3CDTF">2026-05-21T10:33:59Z</dcterms:modified>
</cp:coreProperties>
</file>