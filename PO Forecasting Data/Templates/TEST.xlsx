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\Repo\DTS-Projection-System\PO Forecasting Data\Templates\"/>
    </mc:Choice>
  </mc:AlternateContent>
  <bookViews>
    <workbookView xWindow="0" yWindow="0" windowWidth="28800" windowHeight="12000"/>
  </bookViews>
  <sheets>
    <sheet name="Sheet3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6" i="3" l="1"/>
  <c r="K5" i="3"/>
  <c r="K4" i="3"/>
  <c r="K3" i="3"/>
  <c r="K2" i="3"/>
  <c r="K1" i="3"/>
</calcChain>
</file>

<file path=xl/sharedStrings.xml><?xml version="1.0" encoding="utf-8"?>
<sst xmlns="http://schemas.openxmlformats.org/spreadsheetml/2006/main" count="27" uniqueCount="14">
  <si>
    <t>Requested_Quantity (September)</t>
  </si>
  <si>
    <t>C-ASIN</t>
  </si>
  <si>
    <t>August</t>
  </si>
  <si>
    <t>September</t>
  </si>
  <si>
    <t>STOCK</t>
  </si>
  <si>
    <t xml:space="preserve">ORDER </t>
  </si>
  <si>
    <t>WIP</t>
  </si>
  <si>
    <t>WIP BY SYSTEM</t>
  </si>
  <si>
    <t>PROJECTION + 33%</t>
  </si>
  <si>
    <t>WIP = PROJECTION + 33% - NOV STOCK</t>
  </si>
  <si>
    <t>RQ (August)</t>
  </si>
  <si>
    <t>CP</t>
  </si>
  <si>
    <t>B06XW4XGTV</t>
  </si>
  <si>
    <t xml:space="preserve">33% OF PROJECTION =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</si>
</sst>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0" fillId="0" borderId="10" xfId="0" applyFill="1" applyBorder="1"/>
    <xf numFmtId="0" fontId="0" fillId="0" borderId="11" xfId="0" applyBorder="1"/>
    <xf numFmtId="0" fontId="0" fillId="0" borderId="0" xfId="0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2" borderId="0" xfId="0" applyFill="1" applyAlignment="1">
      <alignment horizontal="right"/>
    </xf>
    <xf numFmtId="0" fontId="0" fillId="4" borderId="2" xfId="0" applyFill="1" applyBorder="1"/>
    <xf numFmtId="0" fontId="0" fillId="4" borderId="5" xfId="0" applyFill="1" applyBorder="1"/>
    <xf numFmtId="0" fontId="0" fillId="4" borderId="0" xfId="0" applyFill="1" applyAlignment="1">
      <alignment horizontal="right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tabSelected="1" zoomScaleNormal="100" workbookViewId="0">
      <selection activeCell="K6" sqref="K6"/>
    </sheetView>
  </sheetViews>
  <sheetFormatPr defaultRowHeight="15" x14ac:dyDescent="0.25"/>
  <cols>
    <col min="1" max="1" width="14.7109375" customWidth="1"/>
    <col min="2" max="2" width="11.140625" customWidth="1"/>
    <col min="3" max="3" width="36.7109375" customWidth="1"/>
    <col min="4" max="4" width="6.7109375" customWidth="1"/>
    <col min="6" max="6" width="14" customWidth="1"/>
    <col min="7" max="7" width="30.85546875" customWidth="1"/>
    <col min="8" max="8" width="4.7109375" customWidth="1"/>
    <col min="10" max="10" width="27.85546875" customWidth="1"/>
    <col min="11" max="11" width="30.85546875" customWidth="1"/>
  </cols>
  <sheetData>
    <row r="1" spans="1:14" x14ac:dyDescent="0.25">
      <c r="A1" s="20" t="s">
        <v>2</v>
      </c>
      <c r="B1" s="21"/>
      <c r="C1" s="21"/>
      <c r="D1" s="21"/>
      <c r="F1" s="17" t="s">
        <v>3</v>
      </c>
      <c r="G1" s="18"/>
      <c r="H1" s="19"/>
      <c r="K1">
        <f>C3+B10-B11</f>
        <v>2064</v>
      </c>
      <c r="M1" s="6"/>
    </row>
    <row r="2" spans="1:14" x14ac:dyDescent="0.25">
      <c r="A2" s="5" t="s">
        <v>1</v>
      </c>
      <c r="B2" s="5" t="s">
        <v>10</v>
      </c>
      <c r="C2" s="4" t="s">
        <v>6</v>
      </c>
      <c r="D2" s="3" t="s">
        <v>11</v>
      </c>
      <c r="F2" s="3" t="s">
        <v>1</v>
      </c>
      <c r="G2" s="3" t="s">
        <v>0</v>
      </c>
      <c r="H2" s="3" t="s">
        <v>11</v>
      </c>
      <c r="K2">
        <f>C4+K1-G3</f>
        <v>1888</v>
      </c>
      <c r="M2" s="6"/>
      <c r="N2" s="6"/>
    </row>
    <row r="3" spans="1:14" x14ac:dyDescent="0.25">
      <c r="A3" s="6" t="s">
        <v>12</v>
      </c>
      <c r="B3" s="13">
        <v>2144</v>
      </c>
      <c r="C3" s="14">
        <v>0</v>
      </c>
      <c r="D3" s="3">
        <v>1</v>
      </c>
      <c r="F3" s="6" t="s">
        <v>12</v>
      </c>
      <c r="G3" s="16">
        <v>2048</v>
      </c>
      <c r="H3" s="2">
        <v>1</v>
      </c>
      <c r="K3">
        <f>C5+K2-G4</f>
        <v>-560</v>
      </c>
      <c r="L3">
        <v>0</v>
      </c>
      <c r="M3" s="6"/>
      <c r="N3" s="6"/>
    </row>
    <row r="4" spans="1:14" x14ac:dyDescent="0.25">
      <c r="A4" s="6" t="s">
        <v>12</v>
      </c>
      <c r="B4" s="13">
        <v>1952</v>
      </c>
      <c r="C4" s="15">
        <v>1872</v>
      </c>
      <c r="D4" s="3">
        <v>2</v>
      </c>
      <c r="F4" s="6" t="s">
        <v>12</v>
      </c>
      <c r="G4" s="16">
        <v>2448</v>
      </c>
      <c r="H4" s="2">
        <v>2</v>
      </c>
      <c r="J4" s="11" t="s">
        <v>13</v>
      </c>
      <c r="K4" s="12">
        <f>G5*33/100</f>
        <v>670.56</v>
      </c>
      <c r="M4" s="6"/>
      <c r="N4" s="6"/>
    </row>
    <row r="5" spans="1:14" x14ac:dyDescent="0.25">
      <c r="A5" s="6" t="s">
        <v>12</v>
      </c>
      <c r="B5" s="13">
        <v>2224</v>
      </c>
      <c r="C5" s="15">
        <v>0</v>
      </c>
      <c r="D5" s="3">
        <v>3</v>
      </c>
      <c r="F5" s="6" t="s">
        <v>12</v>
      </c>
      <c r="G5" s="16">
        <v>2032</v>
      </c>
      <c r="H5" s="2">
        <v>3</v>
      </c>
      <c r="J5" s="7" t="s">
        <v>8</v>
      </c>
      <c r="K5" s="8">
        <f>K4+G5</f>
        <v>2702.56</v>
      </c>
      <c r="M5" s="6"/>
      <c r="N5" s="6"/>
    </row>
    <row r="6" spans="1:14" x14ac:dyDescent="0.25">
      <c r="A6" s="6" t="s">
        <v>12</v>
      </c>
      <c r="B6" s="13">
        <v>1760</v>
      </c>
      <c r="C6" s="2"/>
      <c r="D6" s="3">
        <v>4</v>
      </c>
      <c r="F6" s="6" t="s">
        <v>12</v>
      </c>
      <c r="G6" s="13">
        <v>4176</v>
      </c>
      <c r="H6" s="2">
        <v>4</v>
      </c>
      <c r="J6" s="9" t="s">
        <v>9</v>
      </c>
      <c r="K6" s="10">
        <f>K5-L3</f>
        <v>2702.56</v>
      </c>
      <c r="M6" s="6"/>
      <c r="N6" s="6"/>
    </row>
    <row r="7" spans="1:14" x14ac:dyDescent="0.25">
      <c r="A7" s="6" t="s">
        <v>12</v>
      </c>
      <c r="B7" s="13">
        <v>2032</v>
      </c>
      <c r="C7" s="2"/>
      <c r="D7" s="3">
        <v>5</v>
      </c>
      <c r="F7" s="6" t="s">
        <v>12</v>
      </c>
      <c r="G7" s="13">
        <v>2240</v>
      </c>
      <c r="H7" s="2">
        <v>5</v>
      </c>
    </row>
    <row r="8" spans="1:14" x14ac:dyDescent="0.25">
      <c r="A8" s="6" t="s">
        <v>12</v>
      </c>
      <c r="B8" s="13">
        <v>2736</v>
      </c>
      <c r="C8" s="1"/>
      <c r="D8" s="3">
        <v>6</v>
      </c>
      <c r="F8" s="6" t="s">
        <v>12</v>
      </c>
      <c r="G8" s="13">
        <v>2816</v>
      </c>
      <c r="H8" s="1">
        <v>6</v>
      </c>
    </row>
    <row r="9" spans="1:14" x14ac:dyDescent="0.25">
      <c r="A9" s="6"/>
      <c r="B9" s="6"/>
      <c r="C9" s="6"/>
      <c r="D9" s="6"/>
      <c r="E9" s="6"/>
      <c r="F9" s="6"/>
      <c r="G9" s="6"/>
      <c r="H9" s="6"/>
      <c r="I9" s="6"/>
    </row>
    <row r="10" spans="1:14" x14ac:dyDescent="0.25">
      <c r="A10" s="3" t="s">
        <v>4</v>
      </c>
      <c r="B10" s="3">
        <v>3568</v>
      </c>
      <c r="C10" s="6"/>
      <c r="D10" s="6"/>
      <c r="E10" s="6"/>
      <c r="F10" s="6"/>
    </row>
    <row r="11" spans="1:14" x14ac:dyDescent="0.25">
      <c r="A11" s="3" t="s">
        <v>5</v>
      </c>
      <c r="B11" s="3">
        <v>1504</v>
      </c>
      <c r="C11" s="6"/>
      <c r="D11" s="6"/>
      <c r="E11" s="6"/>
      <c r="F11" s="6"/>
      <c r="G11" s="6"/>
    </row>
    <row r="12" spans="1:14" x14ac:dyDescent="0.25">
      <c r="A12" s="22" t="s">
        <v>7</v>
      </c>
      <c r="B12" s="3"/>
      <c r="C12" s="6"/>
      <c r="D12" s="6"/>
      <c r="E12" s="6"/>
      <c r="F12" s="6"/>
      <c r="G12" s="6"/>
    </row>
    <row r="13" spans="1:14" x14ac:dyDescent="0.25">
      <c r="B13" s="6"/>
      <c r="C13" s="6"/>
      <c r="D13" s="6"/>
      <c r="E13" s="6"/>
      <c r="F13" s="6"/>
      <c r="G13" s="6"/>
    </row>
    <row r="14" spans="1:14" x14ac:dyDescent="0.25">
      <c r="B14" s="6"/>
      <c r="C14" s="6"/>
      <c r="D14" s="6"/>
      <c r="E14" s="6"/>
      <c r="F14" s="6"/>
      <c r="G14" s="6"/>
    </row>
    <row r="15" spans="1:14" x14ac:dyDescent="0.25">
      <c r="B15" s="6"/>
      <c r="C15" s="6"/>
      <c r="D15" s="6"/>
      <c r="E15" s="6"/>
      <c r="F15" s="6"/>
      <c r="G15" s="6"/>
    </row>
    <row r="16" spans="1:14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</row>
    <row r="17" spans="1:11" ht="21.75" customHeight="1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1" ht="18.75" customHeight="1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</row>
    <row r="19" spans="1:11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</row>
    <row r="20" spans="1:11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1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1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</row>
    <row r="23" spans="1:11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</row>
    <row r="24" spans="1:11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</row>
    <row r="25" spans="1:11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</row>
    <row r="26" spans="1:11" ht="9.75" customHeight="1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</row>
    <row r="27" spans="1:11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</row>
    <row r="28" spans="1:11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</row>
    <row r="29" spans="1:11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</row>
    <row r="30" spans="1:11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</row>
    <row r="31" spans="1:11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</row>
  </sheetData>
  <mergeCells count="2">
    <mergeCell ref="F1:H1"/>
    <mergeCell ref="A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>CyberSpace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Amina Javed</dc:creator>
  <cp:lastModifiedBy>Amina Javed</cp:lastModifiedBy>
  <dcterms:created xsi:type="dcterms:W3CDTF">2025-10-13T10:18:13Z</dcterms:created>
  <dcterms:modified xsi:type="dcterms:W3CDTF">2025-10-20T12:00:45Z</dcterms:modified>
</cp:coreProperties>
</file>