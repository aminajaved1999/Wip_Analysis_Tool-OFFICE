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"/>
    </mc:Choice>
  </mc:AlternateContent>
  <bookViews>
    <workbookView xWindow="0" yWindow="0" windowWidth="20430" windowHeight="8055" activeTab="3"/>
  </bookViews>
  <sheets>
    <sheet name="Sheet1" sheetId="1" r:id="rId1"/>
    <sheet name="Sheet2" sheetId="2" r:id="rId2"/>
    <sheet name="Sheet4" sheetId="4" r:id="rId3"/>
    <sheet name="Sheet3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" i="5" l="1"/>
  <c r="O23" i="5"/>
  <c r="L24" i="5"/>
  <c r="L23" i="5"/>
  <c r="K24" i="5"/>
  <c r="K23" i="5"/>
  <c r="F24" i="5"/>
  <c r="F23" i="5"/>
  <c r="E24" i="5"/>
  <c r="E23" i="5"/>
  <c r="D21" i="4"/>
  <c r="S60" i="4" l="1"/>
  <c r="C24" i="4"/>
  <c r="R65" i="4"/>
  <c r="C25" i="4"/>
  <c r="Z40" i="2"/>
  <c r="Z39" i="2"/>
  <c r="Z36" i="2"/>
  <c r="Z35" i="2"/>
  <c r="Z30" i="2"/>
  <c r="Z28" i="2"/>
  <c r="F16" i="2" l="1"/>
  <c r="F16" i="1"/>
  <c r="F14" i="2"/>
  <c r="F14" i="1"/>
  <c r="F17" i="2"/>
  <c r="F18" i="2"/>
  <c r="F17" i="1"/>
  <c r="F18" i="1"/>
</calcChain>
</file>

<file path=xl/sharedStrings.xml><?xml version="1.0" encoding="utf-8"?>
<sst xmlns="http://schemas.openxmlformats.org/spreadsheetml/2006/main" count="805" uniqueCount="87">
  <si>
    <t>Id</t>
  </si>
  <si>
    <t>IssuedMonth</t>
  </si>
  <si>
    <t>TargetMonth</t>
  </si>
  <si>
    <t>FileName</t>
  </si>
  <si>
    <t>Type</t>
  </si>
  <si>
    <t>WipProcessingType</t>
  </si>
  <si>
    <t>MOQ</t>
  </si>
  <si>
    <t>IsCasePackChecked</t>
  </si>
  <si>
    <t>IssuedYear</t>
  </si>
  <si>
    <t>TargetYear</t>
  </si>
  <si>
    <t>5. Beacon_PO_Forecast_Nov_2025.xlsx</t>
  </si>
  <si>
    <t>Analyst</t>
  </si>
  <si>
    <t>Percentage</t>
  </si>
  <si>
    <t>NULL</t>
  </si>
  <si>
    <t>CASIN</t>
  </si>
  <si>
    <t>Month</t>
  </si>
  <si>
    <t>Year</t>
  </si>
  <si>
    <t>WipQuantity</t>
  </si>
  <si>
    <t>Stock</t>
  </si>
  <si>
    <t>CommitmentPeriod</t>
  </si>
  <si>
    <t>PODate</t>
  </si>
  <si>
    <t>LaymanFormula</t>
  </si>
  <si>
    <t>Layman</t>
  </si>
  <si>
    <t>Review_Wip</t>
  </si>
  <si>
    <t>MOQ_Wip</t>
  </si>
  <si>
    <t>CasePack_Wip</t>
  </si>
  <si>
    <t>CasePack</t>
  </si>
  <si>
    <t>WipMaster_Id</t>
  </si>
  <si>
    <t>SystemWip</t>
  </si>
  <si>
    <t>UserWipQty</t>
  </si>
  <si>
    <t>DocNo</t>
  </si>
  <si>
    <t>FillStatus</t>
  </si>
  <si>
    <t>B07F1QG47Y</t>
  </si>
  <si>
    <t>B07FH74RBP</t>
  </si>
  <si>
    <t>Aug</t>
  </si>
  <si>
    <t>Nov</t>
  </si>
  <si>
    <t>W001</t>
  </si>
  <si>
    <t>Sep</t>
  </si>
  <si>
    <t>W002</t>
  </si>
  <si>
    <t>DocType</t>
  </si>
  <si>
    <t>A</t>
  </si>
  <si>
    <t>UCS-1</t>
  </si>
  <si>
    <t>xyx_upload.xlsx</t>
  </si>
  <si>
    <t>OrderMasterId</t>
  </si>
  <si>
    <t>ItemCatalogueId</t>
  </si>
  <si>
    <t>Casin</t>
  </si>
  <si>
    <t>Quantity</t>
  </si>
  <si>
    <t>WipDocNo/ReceiveNo</t>
  </si>
  <si>
    <t>Jan</t>
  </si>
  <si>
    <t>Feb</t>
  </si>
  <si>
    <t>Mar</t>
  </si>
  <si>
    <t>Oct</t>
  </si>
  <si>
    <t xml:space="preserve"> </t>
  </si>
  <si>
    <t>W003</t>
  </si>
  <si>
    <t>W004</t>
  </si>
  <si>
    <t>W005</t>
  </si>
  <si>
    <t>WIP DETAILS</t>
  </si>
  <si>
    <t>WIP MASTER</t>
  </si>
  <si>
    <t>ORDER MASTER</t>
  </si>
  <si>
    <t>ORDER DETAILS</t>
  </si>
  <si>
    <t>UCS-2</t>
  </si>
  <si>
    <t>UCS-3</t>
  </si>
  <si>
    <t>UCS-4</t>
  </si>
  <si>
    <t>UCS-5</t>
  </si>
  <si>
    <t>I</t>
  </si>
  <si>
    <t>Jun</t>
  </si>
  <si>
    <t>Jul</t>
  </si>
  <si>
    <t>Apr</t>
  </si>
  <si>
    <t>May</t>
  </si>
  <si>
    <t>Dec</t>
  </si>
  <si>
    <t>W006</t>
  </si>
  <si>
    <t>W007</t>
  </si>
  <si>
    <t>W008</t>
  </si>
  <si>
    <t>W009</t>
  </si>
  <si>
    <t>Beacon_PO_Forecast_Apr_2025.xlsx</t>
  </si>
  <si>
    <t>Beacon_PO_Forecast_May_2025.xlsx</t>
  </si>
  <si>
    <t>Beacon_PO_Forecast_June_2025.xlsx</t>
  </si>
  <si>
    <t>Beacon_PO_Forecast_July_2025.xlsx</t>
  </si>
  <si>
    <t>Beacon_PO_Forecast_Aug_2025.xlsx</t>
  </si>
  <si>
    <t>Beacon_PO_Forecast_Sep_2025.xlsx</t>
  </si>
  <si>
    <t>Beacon_PO_Forecast_Oct_2025.xlsx</t>
  </si>
  <si>
    <t>Beacon_PO_Forecast_Nov_2025.xlsx</t>
  </si>
  <si>
    <t>Beacon_PO_Forecast_Dec_2025.xlsx</t>
  </si>
  <si>
    <t>aug</t>
  </si>
  <si>
    <t>sep</t>
  </si>
  <si>
    <t>oct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</si>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</sst>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22" fontId="0" fillId="0" borderId="0" xfId="0" applyNumberFormat="1"/>
    <xf numFmtId="0" fontId="2" fillId="5" borderId="0" xfId="0" applyFont="1" applyFill="1"/>
    <xf numFmtId="22" fontId="0" fillId="3" borderId="0" xfId="0" applyNumberFormat="1" applyFill="1"/>
    <xf numFmtId="0" fontId="0" fillId="6" borderId="0" xfId="0" applyFill="1"/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7" borderId="0" xfId="0" applyFill="1"/>
    <xf numFmtId="0" fontId="0" fillId="8" borderId="0" xfId="0" applyFill="1"/>
    <xf numFmtId="47" fontId="0" fillId="0" borderId="0" xfId="0" applyNumberForma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22" fontId="0" fillId="0" borderId="0" xfId="0" applyNumberFormat="1" applyFill="1"/>
    <xf numFmtId="0" fontId="0" fillId="12" borderId="0" xfId="0" applyFill="1"/>
    <xf numFmtId="22" fontId="0" fillId="12" borderId="0" xfId="0" applyNumberFormat="1" applyFill="1"/>
    <xf numFmtId="22" fontId="0" fillId="7" borderId="0" xfId="0" applyNumberFormat="1" applyFill="1"/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applyAlignment="1"/>
    <xf numFmtId="0" fontId="0" fillId="13" borderId="0" xfId="0" applyFill="1"/>
    <xf numFmtId="22" fontId="0" fillId="11" borderId="0" xfId="0" applyNumberFormat="1" applyFill="1"/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zoomScaleNormal="100" workbookViewId="0">
      <selection activeCell="J4" sqref="A1:J4"/>
    </sheetView>
  </sheetViews>
  <sheetFormatPr defaultRowHeight="15" x14ac:dyDescent="0.25"/>
  <cols>
    <col min="1" max="1" width="7" bestFit="1" customWidth="1"/>
    <col min="2" max="2" width="18.140625" customWidth="1"/>
    <col min="3" max="3" width="16.28515625" customWidth="1"/>
    <col min="4" max="4" width="35.85546875" bestFit="1" customWidth="1"/>
    <col min="5" max="5" width="12.28515625" bestFit="1" customWidth="1"/>
    <col min="6" max="6" width="18.5703125" bestFit="1" customWidth="1"/>
    <col min="7" max="7" width="18.85546875" bestFit="1" customWidth="1"/>
    <col min="8" max="8" width="18.42578125" bestFit="1" customWidth="1"/>
    <col min="9" max="9" width="15.140625" customWidth="1"/>
    <col min="10" max="10" width="10.42578125" customWidth="1"/>
    <col min="11" max="11" width="10" customWidth="1"/>
    <col min="12" max="12" width="12.140625" customWidth="1"/>
    <col min="13" max="13" width="10.5703125" customWidth="1"/>
    <col min="14" max="14" width="13.85546875" customWidth="1"/>
    <col min="15" max="15" width="20.5703125" customWidth="1"/>
    <col min="16" max="16" width="13.5703125" customWidth="1"/>
    <col min="17" max="17" width="11" customWidth="1"/>
    <col min="18" max="18" width="11.7109375" customWidth="1"/>
    <col min="19" max="19" width="6.85546875" bestFit="1" customWidth="1"/>
  </cols>
  <sheetData>
    <row r="1" spans="1:21" x14ac:dyDescent="0.25">
      <c r="A1" s="25" t="s">
        <v>57</v>
      </c>
      <c r="B1" s="26"/>
      <c r="C1" s="26"/>
      <c r="D1" s="26"/>
      <c r="E1" s="26"/>
      <c r="F1" s="26"/>
      <c r="G1" s="26"/>
      <c r="H1" s="26"/>
      <c r="I1" s="26"/>
      <c r="J1" s="26"/>
    </row>
    <row r="2" spans="1:2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21" x14ac:dyDescent="0.25">
      <c r="B3" t="s">
        <v>34</v>
      </c>
      <c r="D3" t="s">
        <v>10</v>
      </c>
      <c r="E3" t="s">
        <v>11</v>
      </c>
      <c r="F3" t="s">
        <v>12</v>
      </c>
      <c r="G3" t="s">
        <v>13</v>
      </c>
      <c r="H3">
        <v>1</v>
      </c>
      <c r="I3">
        <v>2025</v>
      </c>
      <c r="J3">
        <v>2025</v>
      </c>
      <c r="K3" s="1"/>
    </row>
    <row r="4" spans="1:21" x14ac:dyDescent="0.25">
      <c r="A4" s="14"/>
      <c r="B4" s="14"/>
      <c r="C4" s="14"/>
      <c r="D4" s="14" t="s">
        <v>10</v>
      </c>
      <c r="E4" s="14" t="s">
        <v>11</v>
      </c>
      <c r="F4" s="14" t="s">
        <v>12</v>
      </c>
      <c r="G4" s="14" t="s">
        <v>13</v>
      </c>
      <c r="H4" s="14">
        <v>1</v>
      </c>
      <c r="I4" s="14">
        <v>2025</v>
      </c>
      <c r="J4" s="14">
        <v>2025</v>
      </c>
      <c r="K4" s="14"/>
    </row>
    <row r="9" spans="1:21" x14ac:dyDescent="0.25">
      <c r="A9" s="25" t="s">
        <v>56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1" x14ac:dyDescent="0.25">
      <c r="A10" s="5" t="s">
        <v>0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K10" s="5" t="s">
        <v>11</v>
      </c>
      <c r="L10" s="5" t="s">
        <v>23</v>
      </c>
      <c r="M10" s="5" t="s">
        <v>24</v>
      </c>
      <c r="N10" s="5" t="s">
        <v>25</v>
      </c>
      <c r="O10" s="5" t="s">
        <v>26</v>
      </c>
      <c r="P10" s="5" t="s">
        <v>27</v>
      </c>
      <c r="Q10" s="5" t="s">
        <v>28</v>
      </c>
      <c r="R10" s="5" t="s">
        <v>29</v>
      </c>
      <c r="S10" s="5" t="s">
        <v>30</v>
      </c>
      <c r="T10" s="5" t="s">
        <v>31</v>
      </c>
    </row>
    <row r="11" spans="1:21" x14ac:dyDescent="0.25">
      <c r="A11" s="3"/>
      <c r="B11" s="3" t="s">
        <v>32</v>
      </c>
      <c r="C11" s="3" t="s">
        <v>65</v>
      </c>
      <c r="D11" s="3">
        <v>2025</v>
      </c>
      <c r="E11" s="3">
        <v>72</v>
      </c>
      <c r="F11" s="3">
        <v>0</v>
      </c>
      <c r="G11" s="2">
        <v>3</v>
      </c>
      <c r="H11" s="6">
        <v>46000.603715277779</v>
      </c>
      <c r="I11" s="3" t="s">
        <v>13</v>
      </c>
      <c r="J11" s="3" t="s">
        <v>13</v>
      </c>
      <c r="K11" s="3">
        <v>36</v>
      </c>
      <c r="L11" s="3">
        <v>48</v>
      </c>
      <c r="M11" s="3" t="s">
        <v>13</v>
      </c>
      <c r="N11" s="3">
        <v>36</v>
      </c>
      <c r="O11" s="3">
        <v>36</v>
      </c>
      <c r="P11" s="7">
        <v>1</v>
      </c>
      <c r="Q11" s="3">
        <v>36</v>
      </c>
      <c r="R11" s="3" t="s">
        <v>13</v>
      </c>
      <c r="S11" s="3" t="s">
        <v>36</v>
      </c>
      <c r="T11" s="3">
        <v>1</v>
      </c>
    </row>
    <row r="12" spans="1:21" x14ac:dyDescent="0.25">
      <c r="A12" s="3"/>
      <c r="B12" s="3" t="s">
        <v>33</v>
      </c>
      <c r="C12" s="3" t="s">
        <v>65</v>
      </c>
      <c r="D12" s="3">
        <v>2025</v>
      </c>
      <c r="E12" s="3">
        <v>108</v>
      </c>
      <c r="F12" s="3">
        <v>36</v>
      </c>
      <c r="G12" s="2">
        <v>3</v>
      </c>
      <c r="H12" s="6">
        <v>46001.603715277779</v>
      </c>
      <c r="I12" s="3" t="s">
        <v>13</v>
      </c>
      <c r="J12" s="3" t="s">
        <v>13</v>
      </c>
      <c r="K12" s="3">
        <v>36</v>
      </c>
      <c r="L12" s="3">
        <v>48</v>
      </c>
      <c r="M12" s="3" t="s">
        <v>13</v>
      </c>
      <c r="N12" s="3">
        <v>36</v>
      </c>
      <c r="O12" s="3">
        <v>36</v>
      </c>
      <c r="P12" s="7">
        <v>1</v>
      </c>
      <c r="Q12" s="3">
        <v>36</v>
      </c>
      <c r="R12" s="3" t="s">
        <v>13</v>
      </c>
      <c r="S12" s="3" t="s">
        <v>36</v>
      </c>
      <c r="T12" s="3"/>
      <c r="U12" s="3"/>
    </row>
    <row r="13" spans="1:21" x14ac:dyDescent="0.25">
      <c r="A13" s="3"/>
      <c r="B13" s="3" t="s">
        <v>32</v>
      </c>
      <c r="C13" s="3" t="s">
        <v>66</v>
      </c>
      <c r="D13" s="3">
        <v>2025</v>
      </c>
      <c r="E13" s="3">
        <v>72</v>
      </c>
      <c r="F13" s="3">
        <v>0</v>
      </c>
      <c r="G13" s="2">
        <v>3</v>
      </c>
      <c r="H13" s="6">
        <v>46000.603715277779</v>
      </c>
      <c r="I13" s="3" t="s">
        <v>13</v>
      </c>
      <c r="J13" s="3" t="s">
        <v>13</v>
      </c>
      <c r="K13" s="3">
        <v>36</v>
      </c>
      <c r="L13" s="3">
        <v>48</v>
      </c>
      <c r="M13" s="3" t="s">
        <v>13</v>
      </c>
      <c r="N13" s="3">
        <v>36</v>
      </c>
      <c r="O13" s="3">
        <v>36</v>
      </c>
      <c r="P13" s="7">
        <v>1</v>
      </c>
      <c r="Q13" s="3">
        <v>36</v>
      </c>
      <c r="R13" s="3" t="s">
        <v>13</v>
      </c>
      <c r="S13" s="3" t="s">
        <v>38</v>
      </c>
      <c r="T13" s="3">
        <v>1</v>
      </c>
    </row>
    <row r="14" spans="1:21" x14ac:dyDescent="0.25">
      <c r="A14" s="3"/>
      <c r="B14" s="3" t="s">
        <v>33</v>
      </c>
      <c r="C14" s="3" t="s">
        <v>66</v>
      </c>
      <c r="D14" s="3">
        <v>2025</v>
      </c>
      <c r="E14" s="3">
        <v>108</v>
      </c>
      <c r="F14" s="3">
        <f t="shared" ref="F14:F18" si="0">E14</f>
        <v>108</v>
      </c>
      <c r="G14" s="2">
        <v>3</v>
      </c>
      <c r="H14" s="6">
        <v>46001.603715277779</v>
      </c>
      <c r="I14" s="3" t="s">
        <v>13</v>
      </c>
      <c r="J14" s="3" t="s">
        <v>13</v>
      </c>
      <c r="K14" s="3">
        <v>36</v>
      </c>
      <c r="L14" s="3">
        <v>48</v>
      </c>
      <c r="M14" s="3" t="s">
        <v>13</v>
      </c>
      <c r="N14" s="3">
        <v>36</v>
      </c>
      <c r="O14" s="3">
        <v>36</v>
      </c>
      <c r="P14" s="7">
        <v>1</v>
      </c>
      <c r="Q14" s="3">
        <v>36</v>
      </c>
      <c r="R14" s="3" t="s">
        <v>13</v>
      </c>
      <c r="S14" s="3" t="s">
        <v>36</v>
      </c>
      <c r="T14" s="3"/>
      <c r="U14" s="3"/>
    </row>
    <row r="15" spans="1:21" x14ac:dyDescent="0.25">
      <c r="A15" s="3"/>
      <c r="B15" s="3" t="s">
        <v>32</v>
      </c>
      <c r="C15" s="3" t="s">
        <v>34</v>
      </c>
      <c r="D15" s="3">
        <v>2025</v>
      </c>
      <c r="E15" s="3">
        <v>72</v>
      </c>
      <c r="F15" s="3">
        <v>36</v>
      </c>
      <c r="G15" s="2">
        <v>3</v>
      </c>
      <c r="H15" s="6">
        <v>46000.603715277779</v>
      </c>
      <c r="I15" s="3" t="s">
        <v>13</v>
      </c>
      <c r="J15" s="3" t="s">
        <v>13</v>
      </c>
      <c r="K15" s="3">
        <v>36</v>
      </c>
      <c r="L15" s="3">
        <v>48</v>
      </c>
      <c r="M15" s="3" t="s">
        <v>13</v>
      </c>
      <c r="N15" s="3">
        <v>36</v>
      </c>
      <c r="O15" s="3">
        <v>36</v>
      </c>
      <c r="P15" s="7">
        <v>1</v>
      </c>
      <c r="Q15" s="3">
        <v>36</v>
      </c>
      <c r="R15" s="3" t="s">
        <v>13</v>
      </c>
      <c r="S15" s="3" t="s">
        <v>36</v>
      </c>
      <c r="T15" s="3"/>
    </row>
    <row r="16" spans="1:21" x14ac:dyDescent="0.25">
      <c r="A16" s="3"/>
      <c r="B16" s="3" t="s">
        <v>33</v>
      </c>
      <c r="C16" s="3" t="s">
        <v>34</v>
      </c>
      <c r="D16" s="3">
        <v>2025</v>
      </c>
      <c r="E16" s="3">
        <v>108</v>
      </c>
      <c r="F16" s="3">
        <f t="shared" si="0"/>
        <v>108</v>
      </c>
      <c r="G16" s="2">
        <v>3</v>
      </c>
      <c r="H16" s="6">
        <v>46001.603715277779</v>
      </c>
      <c r="I16" s="3" t="s">
        <v>13</v>
      </c>
      <c r="J16" s="3" t="s">
        <v>13</v>
      </c>
      <c r="K16" s="3">
        <v>36</v>
      </c>
      <c r="L16" s="3">
        <v>48</v>
      </c>
      <c r="M16" s="3" t="s">
        <v>13</v>
      </c>
      <c r="N16" s="3">
        <v>36</v>
      </c>
      <c r="O16" s="3">
        <v>36</v>
      </c>
      <c r="P16" s="7">
        <v>1</v>
      </c>
      <c r="Q16" s="3">
        <v>36</v>
      </c>
      <c r="R16" s="3" t="s">
        <v>13</v>
      </c>
      <c r="S16" s="3" t="s">
        <v>36</v>
      </c>
      <c r="T16" s="3"/>
      <c r="U16" s="3"/>
    </row>
    <row r="17" spans="1:21" x14ac:dyDescent="0.25">
      <c r="B17" t="s">
        <v>32</v>
      </c>
      <c r="C17" t="s">
        <v>37</v>
      </c>
      <c r="D17">
        <v>2025</v>
      </c>
      <c r="E17">
        <v>72</v>
      </c>
      <c r="F17" s="3">
        <f t="shared" si="0"/>
        <v>72</v>
      </c>
      <c r="G17" s="2">
        <v>3</v>
      </c>
      <c r="H17" s="4">
        <v>46002.603715277779</v>
      </c>
      <c r="I17" t="s">
        <v>13</v>
      </c>
      <c r="J17" t="s">
        <v>13</v>
      </c>
      <c r="K17">
        <v>36</v>
      </c>
      <c r="L17">
        <v>48</v>
      </c>
      <c r="M17" t="s">
        <v>13</v>
      </c>
      <c r="N17">
        <v>36</v>
      </c>
      <c r="O17">
        <v>36</v>
      </c>
      <c r="P17" s="7">
        <v>2</v>
      </c>
      <c r="Q17">
        <v>36</v>
      </c>
      <c r="R17" t="s">
        <v>13</v>
      </c>
      <c r="S17" t="s">
        <v>38</v>
      </c>
      <c r="U17">
        <v>30</v>
      </c>
    </row>
    <row r="18" spans="1:21" x14ac:dyDescent="0.25">
      <c r="B18" t="s">
        <v>33</v>
      </c>
      <c r="C18" t="s">
        <v>37</v>
      </c>
      <c r="D18">
        <v>2025</v>
      </c>
      <c r="E18">
        <v>36</v>
      </c>
      <c r="F18" s="3">
        <f t="shared" si="0"/>
        <v>36</v>
      </c>
      <c r="G18" s="2">
        <v>3</v>
      </c>
      <c r="H18" s="4">
        <v>46003.603715277779</v>
      </c>
      <c r="I18" t="s">
        <v>13</v>
      </c>
      <c r="J18" t="s">
        <v>13</v>
      </c>
      <c r="K18">
        <v>36</v>
      </c>
      <c r="L18">
        <v>48</v>
      </c>
      <c r="M18" t="s">
        <v>13</v>
      </c>
      <c r="N18">
        <v>36</v>
      </c>
      <c r="O18">
        <v>36</v>
      </c>
      <c r="P18" s="7">
        <v>2</v>
      </c>
      <c r="Q18">
        <v>36</v>
      </c>
      <c r="R18" t="s">
        <v>13</v>
      </c>
      <c r="S18" t="s">
        <v>38</v>
      </c>
    </row>
    <row r="19" spans="1:21" hidden="1" x14ac:dyDescent="0.25">
      <c r="A19" s="3"/>
      <c r="B19" s="3" t="s">
        <v>32</v>
      </c>
      <c r="C19" s="3" t="s">
        <v>48</v>
      </c>
      <c r="D19" s="3">
        <v>2025</v>
      </c>
      <c r="E19" s="3">
        <v>36</v>
      </c>
      <c r="F19" s="3">
        <v>0</v>
      </c>
      <c r="G19" s="2">
        <v>3</v>
      </c>
      <c r="H19" s="6">
        <v>46004.603715277779</v>
      </c>
      <c r="I19" s="3" t="s">
        <v>13</v>
      </c>
      <c r="J19" s="3" t="s">
        <v>13</v>
      </c>
      <c r="K19" s="3">
        <v>36</v>
      </c>
      <c r="L19" s="3">
        <v>48</v>
      </c>
      <c r="M19" s="3" t="s">
        <v>13</v>
      </c>
      <c r="N19" s="3">
        <v>36</v>
      </c>
      <c r="O19" s="3">
        <v>36</v>
      </c>
      <c r="P19" s="7">
        <v>3</v>
      </c>
      <c r="Q19" s="3">
        <v>36</v>
      </c>
      <c r="R19" s="3" t="s">
        <v>13</v>
      </c>
      <c r="S19" s="3" t="s">
        <v>53</v>
      </c>
      <c r="T19" s="3" t="s">
        <v>13</v>
      </c>
      <c r="U19">
        <v>28</v>
      </c>
    </row>
    <row r="20" spans="1:21" hidden="1" x14ac:dyDescent="0.25">
      <c r="A20" s="3"/>
      <c r="B20" s="3" t="s">
        <v>33</v>
      </c>
      <c r="C20" s="3" t="s">
        <v>48</v>
      </c>
      <c r="D20" s="3">
        <v>2025</v>
      </c>
      <c r="E20" s="3">
        <v>36</v>
      </c>
      <c r="F20" s="3">
        <v>0</v>
      </c>
      <c r="G20" s="2">
        <v>3</v>
      </c>
      <c r="H20" s="6">
        <v>46005.603715277779</v>
      </c>
      <c r="I20" s="3" t="s">
        <v>13</v>
      </c>
      <c r="J20" s="3" t="s">
        <v>13</v>
      </c>
      <c r="K20" s="3">
        <v>36</v>
      </c>
      <c r="L20" s="3">
        <v>48</v>
      </c>
      <c r="M20" s="3" t="s">
        <v>13</v>
      </c>
      <c r="N20" s="3">
        <v>36</v>
      </c>
      <c r="O20" s="3">
        <v>36</v>
      </c>
      <c r="P20" s="7">
        <v>3</v>
      </c>
      <c r="Q20" s="3">
        <v>36</v>
      </c>
      <c r="R20" s="3" t="s">
        <v>13</v>
      </c>
      <c r="S20" s="3" t="s">
        <v>53</v>
      </c>
      <c r="T20" s="3" t="s">
        <v>13</v>
      </c>
      <c r="U20">
        <v>18</v>
      </c>
    </row>
    <row r="21" spans="1:21" hidden="1" x14ac:dyDescent="0.25">
      <c r="B21" t="s">
        <v>32</v>
      </c>
      <c r="C21" t="s">
        <v>49</v>
      </c>
      <c r="D21">
        <v>2025</v>
      </c>
      <c r="E21">
        <v>36</v>
      </c>
      <c r="F21">
        <v>0</v>
      </c>
      <c r="G21" s="2">
        <v>3</v>
      </c>
      <c r="H21" s="4">
        <v>46006.603715277779</v>
      </c>
      <c r="I21" t="s">
        <v>13</v>
      </c>
      <c r="J21" t="s">
        <v>13</v>
      </c>
      <c r="K21">
        <v>36</v>
      </c>
      <c r="L21">
        <v>48</v>
      </c>
      <c r="M21" t="s">
        <v>13</v>
      </c>
      <c r="N21">
        <v>36</v>
      </c>
      <c r="O21">
        <v>36</v>
      </c>
      <c r="P21" s="7">
        <v>4</v>
      </c>
      <c r="Q21">
        <v>36</v>
      </c>
      <c r="R21" t="s">
        <v>13</v>
      </c>
      <c r="S21" t="s">
        <v>54</v>
      </c>
      <c r="T21" t="s">
        <v>13</v>
      </c>
    </row>
    <row r="22" spans="1:21" hidden="1" x14ac:dyDescent="0.25">
      <c r="B22" t="s">
        <v>33</v>
      </c>
      <c r="C22" t="s">
        <v>49</v>
      </c>
      <c r="D22">
        <v>2025</v>
      </c>
      <c r="E22">
        <v>36</v>
      </c>
      <c r="F22">
        <v>0</v>
      </c>
      <c r="G22" s="2">
        <v>3</v>
      </c>
      <c r="H22" s="4">
        <v>46007.603715277779</v>
      </c>
      <c r="I22" t="s">
        <v>13</v>
      </c>
      <c r="J22" t="s">
        <v>13</v>
      </c>
      <c r="K22">
        <v>36</v>
      </c>
      <c r="L22">
        <v>48</v>
      </c>
      <c r="M22" t="s">
        <v>13</v>
      </c>
      <c r="N22">
        <v>36</v>
      </c>
      <c r="O22">
        <v>36</v>
      </c>
      <c r="P22" s="7">
        <v>4</v>
      </c>
      <c r="Q22">
        <v>36</v>
      </c>
      <c r="R22" t="s">
        <v>13</v>
      </c>
      <c r="S22" t="s">
        <v>54</v>
      </c>
      <c r="T22" t="s">
        <v>13</v>
      </c>
    </row>
    <row r="23" spans="1:21" hidden="1" x14ac:dyDescent="0.25">
      <c r="A23" s="3"/>
      <c r="B23" s="3" t="s">
        <v>32</v>
      </c>
      <c r="C23" s="3" t="s">
        <v>50</v>
      </c>
      <c r="D23" s="3">
        <v>2025</v>
      </c>
      <c r="E23" s="3">
        <v>36</v>
      </c>
      <c r="F23" s="3">
        <v>0</v>
      </c>
      <c r="G23" s="2">
        <v>3</v>
      </c>
      <c r="H23" s="6">
        <v>46008.603715277779</v>
      </c>
      <c r="I23" s="3" t="s">
        <v>13</v>
      </c>
      <c r="J23" s="3" t="s">
        <v>13</v>
      </c>
      <c r="K23" s="3">
        <v>36</v>
      </c>
      <c r="L23" s="3">
        <v>48</v>
      </c>
      <c r="M23" s="3" t="s">
        <v>13</v>
      </c>
      <c r="N23" s="3">
        <v>36</v>
      </c>
      <c r="O23" s="3">
        <v>36</v>
      </c>
      <c r="P23" s="7">
        <v>5</v>
      </c>
      <c r="Q23" s="3">
        <v>36</v>
      </c>
      <c r="R23" s="3" t="s">
        <v>13</v>
      </c>
      <c r="S23" s="3" t="s">
        <v>55</v>
      </c>
      <c r="T23" s="3" t="s">
        <v>13</v>
      </c>
    </row>
    <row r="24" spans="1:21" hidden="1" x14ac:dyDescent="0.25">
      <c r="A24" s="3"/>
      <c r="B24" s="3" t="s">
        <v>33</v>
      </c>
      <c r="C24" s="3" t="s">
        <v>50</v>
      </c>
      <c r="D24" s="3">
        <v>2025</v>
      </c>
      <c r="E24" s="3">
        <v>36</v>
      </c>
      <c r="F24" s="3">
        <v>0</v>
      </c>
      <c r="G24" s="2">
        <v>3</v>
      </c>
      <c r="H24" s="6">
        <v>46009.603715277779</v>
      </c>
      <c r="I24" s="3" t="s">
        <v>13</v>
      </c>
      <c r="J24" s="3" t="s">
        <v>13</v>
      </c>
      <c r="K24" s="3">
        <v>36</v>
      </c>
      <c r="L24" s="3">
        <v>48</v>
      </c>
      <c r="M24" s="3" t="s">
        <v>13</v>
      </c>
      <c r="N24" s="3">
        <v>36</v>
      </c>
      <c r="O24" s="3">
        <v>36</v>
      </c>
      <c r="P24" s="7">
        <v>5</v>
      </c>
      <c r="Q24" s="3">
        <v>36</v>
      </c>
      <c r="R24" s="3" t="s">
        <v>13</v>
      </c>
      <c r="S24" s="3" t="s">
        <v>55</v>
      </c>
      <c r="T24" s="3" t="s">
        <v>13</v>
      </c>
    </row>
    <row r="27" spans="1:21" x14ac:dyDescent="0.25">
      <c r="A27" s="25" t="s">
        <v>58</v>
      </c>
      <c r="B27" s="25"/>
      <c r="C27" s="25"/>
      <c r="D27" s="25"/>
      <c r="E27" s="25"/>
      <c r="F27" s="25"/>
    </row>
    <row r="28" spans="1:21" x14ac:dyDescent="0.25">
      <c r="A28" s="5" t="s">
        <v>0</v>
      </c>
      <c r="B28" s="5" t="s">
        <v>15</v>
      </c>
      <c r="C28" s="5" t="s">
        <v>16</v>
      </c>
      <c r="D28" s="5" t="s">
        <v>39</v>
      </c>
      <c r="E28" s="5" t="s">
        <v>30</v>
      </c>
      <c r="F28" s="5" t="s">
        <v>3</v>
      </c>
    </row>
    <row r="29" spans="1:21" x14ac:dyDescent="0.25">
      <c r="A29">
        <v>17</v>
      </c>
      <c r="B29" t="s">
        <v>34</v>
      </c>
      <c r="C29">
        <v>2025</v>
      </c>
      <c r="D29" t="s">
        <v>40</v>
      </c>
      <c r="E29" t="s">
        <v>41</v>
      </c>
      <c r="F29" t="s">
        <v>42</v>
      </c>
      <c r="G29" s="1"/>
    </row>
    <row r="30" spans="1:21" x14ac:dyDescent="0.25">
      <c r="A30">
        <v>18</v>
      </c>
      <c r="B30" t="s">
        <v>34</v>
      </c>
      <c r="C30">
        <v>2025</v>
      </c>
      <c r="D30" t="s">
        <v>64</v>
      </c>
      <c r="E30" t="s">
        <v>41</v>
      </c>
      <c r="F30" t="s">
        <v>42</v>
      </c>
      <c r="Q30" t="s">
        <v>52</v>
      </c>
    </row>
    <row r="31" spans="1:21" x14ac:dyDescent="0.25">
      <c r="A31">
        <v>19</v>
      </c>
      <c r="B31" t="s">
        <v>37</v>
      </c>
      <c r="C31">
        <v>2025</v>
      </c>
      <c r="D31" t="s">
        <v>40</v>
      </c>
      <c r="E31" t="s">
        <v>60</v>
      </c>
      <c r="F31" t="s">
        <v>42</v>
      </c>
      <c r="G31" s="1"/>
    </row>
    <row r="32" spans="1:21" x14ac:dyDescent="0.25">
      <c r="A32">
        <v>20</v>
      </c>
      <c r="B32" t="s">
        <v>37</v>
      </c>
      <c r="C32">
        <v>2025</v>
      </c>
      <c r="D32" t="s">
        <v>64</v>
      </c>
      <c r="E32" t="s">
        <v>60</v>
      </c>
      <c r="F32" t="s">
        <v>42</v>
      </c>
    </row>
    <row r="36" spans="1:9" x14ac:dyDescent="0.25">
      <c r="A36" s="25" t="s">
        <v>59</v>
      </c>
      <c r="B36" s="25"/>
      <c r="C36" s="25"/>
      <c r="D36" s="25"/>
      <c r="E36" s="25"/>
      <c r="F36" s="25"/>
      <c r="G36" s="25"/>
      <c r="H36" s="25"/>
    </row>
    <row r="37" spans="1:9" x14ac:dyDescent="0.25">
      <c r="A37" s="5" t="s">
        <v>0</v>
      </c>
      <c r="B37" s="5" t="s">
        <v>43</v>
      </c>
      <c r="C37" s="5" t="s">
        <v>44</v>
      </c>
      <c r="D37" s="5" t="s">
        <v>47</v>
      </c>
      <c r="E37" s="5" t="s">
        <v>45</v>
      </c>
      <c r="F37" s="5" t="s">
        <v>46</v>
      </c>
      <c r="G37" s="5" t="s">
        <v>39</v>
      </c>
      <c r="H37" s="5" t="s">
        <v>30</v>
      </c>
      <c r="I37" s="9"/>
    </row>
    <row r="38" spans="1:9" x14ac:dyDescent="0.25">
      <c r="A38" s="13"/>
      <c r="B38" s="10">
        <v>17</v>
      </c>
      <c r="C38" s="10">
        <v>16507</v>
      </c>
      <c r="D38" s="10" t="s">
        <v>13</v>
      </c>
      <c r="E38" s="10" t="s">
        <v>32</v>
      </c>
      <c r="F38" s="10">
        <v>100</v>
      </c>
      <c r="G38" s="10" t="s">
        <v>40</v>
      </c>
      <c r="H38" s="13" t="s">
        <v>41</v>
      </c>
      <c r="I38" s="12"/>
    </row>
    <row r="39" spans="1:9" x14ac:dyDescent="0.25">
      <c r="A39" s="13"/>
      <c r="B39" s="11">
        <v>18</v>
      </c>
      <c r="C39" s="11">
        <v>16507</v>
      </c>
      <c r="D39" s="11" t="s">
        <v>36</v>
      </c>
      <c r="E39" s="11" t="s">
        <v>32</v>
      </c>
      <c r="F39" s="11">
        <v>36</v>
      </c>
      <c r="G39" s="11" t="s">
        <v>64</v>
      </c>
      <c r="H39" s="13" t="s">
        <v>41</v>
      </c>
      <c r="I39" s="9"/>
    </row>
    <row r="40" spans="1:9" x14ac:dyDescent="0.25">
      <c r="A40" s="13"/>
      <c r="B40" s="11">
        <v>18</v>
      </c>
      <c r="C40" s="11">
        <v>16507</v>
      </c>
      <c r="D40" s="11" t="s">
        <v>38</v>
      </c>
      <c r="E40" s="11" t="s">
        <v>32</v>
      </c>
      <c r="F40" s="11">
        <v>36</v>
      </c>
      <c r="G40" s="11" t="s">
        <v>64</v>
      </c>
      <c r="H40" s="13" t="s">
        <v>60</v>
      </c>
      <c r="I40" s="9"/>
    </row>
    <row r="41" spans="1:9" x14ac:dyDescent="0.25">
      <c r="A41" s="13"/>
      <c r="B41" s="10">
        <v>17</v>
      </c>
      <c r="C41" s="10">
        <v>16508</v>
      </c>
      <c r="D41" s="11" t="s">
        <v>53</v>
      </c>
      <c r="E41" s="11" t="s">
        <v>32</v>
      </c>
      <c r="F41" s="10">
        <v>28</v>
      </c>
      <c r="G41" s="10" t="s">
        <v>40</v>
      </c>
      <c r="H41" s="13" t="s">
        <v>41</v>
      </c>
    </row>
    <row r="42" spans="1:9" x14ac:dyDescent="0.25">
      <c r="A42" s="13"/>
      <c r="B42" s="11">
        <v>18</v>
      </c>
      <c r="C42" s="11">
        <v>16508</v>
      </c>
      <c r="D42" s="11" t="s">
        <v>36</v>
      </c>
      <c r="E42" s="11" t="s">
        <v>33</v>
      </c>
      <c r="F42" s="11">
        <v>80</v>
      </c>
      <c r="G42" s="11" t="s">
        <v>64</v>
      </c>
      <c r="H42" s="13" t="s">
        <v>60</v>
      </c>
    </row>
    <row r="43" spans="1:9" x14ac:dyDescent="0.25">
      <c r="A43" s="13"/>
      <c r="B43" s="11">
        <v>18</v>
      </c>
      <c r="C43" s="11">
        <v>16508</v>
      </c>
      <c r="D43" s="11" t="s">
        <v>38</v>
      </c>
      <c r="E43" s="11" t="s">
        <v>33</v>
      </c>
      <c r="F43" s="11">
        <v>50</v>
      </c>
      <c r="G43" s="11" t="s">
        <v>64</v>
      </c>
      <c r="H43" s="13" t="s">
        <v>60</v>
      </c>
    </row>
    <row r="44" spans="1:9" x14ac:dyDescent="0.25">
      <c r="B44" s="10">
        <v>19</v>
      </c>
      <c r="C44" s="10">
        <v>16507</v>
      </c>
      <c r="D44" s="10" t="s">
        <v>13</v>
      </c>
      <c r="E44" s="10" t="s">
        <v>32</v>
      </c>
      <c r="F44" s="10">
        <v>100</v>
      </c>
      <c r="G44" s="10" t="s">
        <v>40</v>
      </c>
      <c r="H44" s="10" t="s">
        <v>61</v>
      </c>
    </row>
  </sheetData>
  <mergeCells count="4">
    <mergeCell ref="A9:T9"/>
    <mergeCell ref="A1:J1"/>
    <mergeCell ref="A27:F27"/>
    <mergeCell ref="A36:H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topLeftCell="A7" workbookViewId="0">
      <selection activeCell="W23" sqref="W23:AP42"/>
    </sheetView>
  </sheetViews>
  <sheetFormatPr defaultRowHeight="15" x14ac:dyDescent="0.25"/>
  <cols>
    <col min="9" max="18" width="0" hidden="1" customWidth="1"/>
  </cols>
  <sheetData>
    <row r="1" spans="1:20" x14ac:dyDescent="0.25">
      <c r="A1">
        <v>502</v>
      </c>
      <c r="B1" t="s">
        <v>37</v>
      </c>
      <c r="C1">
        <v>2025</v>
      </c>
      <c r="D1" t="s">
        <v>40</v>
      </c>
      <c r="E1" t="s">
        <v>60</v>
      </c>
      <c r="F1" t="s">
        <v>42</v>
      </c>
    </row>
    <row r="2" spans="1:20" x14ac:dyDescent="0.25">
      <c r="A2">
        <v>503</v>
      </c>
      <c r="B2" t="s">
        <v>51</v>
      </c>
      <c r="C2">
        <v>2025</v>
      </c>
      <c r="D2" t="s">
        <v>40</v>
      </c>
      <c r="E2" t="s">
        <v>61</v>
      </c>
      <c r="F2" t="s">
        <v>42</v>
      </c>
    </row>
    <row r="3" spans="1:20" x14ac:dyDescent="0.25">
      <c r="A3">
        <v>504</v>
      </c>
      <c r="B3" t="s">
        <v>35</v>
      </c>
      <c r="D3" t="s">
        <v>40</v>
      </c>
      <c r="E3" t="s">
        <v>62</v>
      </c>
      <c r="F3" t="s">
        <v>42</v>
      </c>
    </row>
    <row r="4" spans="1:20" x14ac:dyDescent="0.25">
      <c r="A4" s="14">
        <v>504</v>
      </c>
      <c r="B4" s="14"/>
      <c r="C4" s="14"/>
      <c r="D4" s="14" t="s">
        <v>40</v>
      </c>
      <c r="E4" s="14" t="s">
        <v>63</v>
      </c>
      <c r="F4" s="14" t="s">
        <v>42</v>
      </c>
      <c r="G4" s="14"/>
      <c r="H4" s="14"/>
      <c r="I4" s="14"/>
      <c r="J4" s="14"/>
      <c r="K4" s="14"/>
    </row>
    <row r="11" spans="1:20" x14ac:dyDescent="0.25">
      <c r="C11" t="s">
        <v>65</v>
      </c>
      <c r="E11">
        <v>72</v>
      </c>
      <c r="F11">
        <v>0</v>
      </c>
      <c r="T11">
        <v>1</v>
      </c>
    </row>
    <row r="12" spans="1:20" x14ac:dyDescent="0.25">
      <c r="C12" t="s">
        <v>65</v>
      </c>
      <c r="E12">
        <v>108</v>
      </c>
      <c r="F12">
        <v>36</v>
      </c>
    </row>
    <row r="13" spans="1:20" x14ac:dyDescent="0.25">
      <c r="C13" t="s">
        <v>66</v>
      </c>
      <c r="E13">
        <v>72</v>
      </c>
      <c r="F13">
        <v>0</v>
      </c>
      <c r="S13" t="s">
        <v>38</v>
      </c>
      <c r="T13">
        <v>1</v>
      </c>
    </row>
    <row r="14" spans="1:20" x14ac:dyDescent="0.25">
      <c r="C14" t="s">
        <v>66</v>
      </c>
      <c r="E14">
        <v>108</v>
      </c>
      <c r="F14">
        <f t="shared" ref="F14:F18" si="0">E14</f>
        <v>108</v>
      </c>
    </row>
    <row r="15" spans="1:20" x14ac:dyDescent="0.25">
      <c r="C15" t="s">
        <v>34</v>
      </c>
      <c r="E15">
        <v>72</v>
      </c>
      <c r="F15">
        <v>36</v>
      </c>
    </row>
    <row r="16" spans="1:20" x14ac:dyDescent="0.25">
      <c r="C16" t="s">
        <v>34</v>
      </c>
      <c r="E16">
        <v>108</v>
      </c>
      <c r="F16">
        <f t="shared" si="0"/>
        <v>108</v>
      </c>
    </row>
    <row r="17" spans="2:42" x14ac:dyDescent="0.25">
      <c r="C17" t="s">
        <v>37</v>
      </c>
      <c r="E17">
        <v>72</v>
      </c>
      <c r="F17">
        <f t="shared" si="0"/>
        <v>72</v>
      </c>
    </row>
    <row r="18" spans="2:42" x14ac:dyDescent="0.25">
      <c r="C18" t="s">
        <v>37</v>
      </c>
      <c r="E18">
        <v>36</v>
      </c>
      <c r="F18">
        <f t="shared" si="0"/>
        <v>36</v>
      </c>
    </row>
    <row r="23" spans="2:42" x14ac:dyDescent="0.25">
      <c r="W23" s="25" t="s">
        <v>56</v>
      </c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2:42" x14ac:dyDescent="0.25">
      <c r="W24" s="5" t="s">
        <v>0</v>
      </c>
      <c r="X24" s="5" t="s">
        <v>14</v>
      </c>
      <c r="Y24" s="5" t="s">
        <v>17</v>
      </c>
      <c r="Z24" s="5" t="s">
        <v>18</v>
      </c>
      <c r="AA24" s="5" t="s">
        <v>19</v>
      </c>
      <c r="AB24" s="5" t="s">
        <v>20</v>
      </c>
      <c r="AC24" s="5" t="s">
        <v>21</v>
      </c>
      <c r="AD24" s="5" t="s">
        <v>22</v>
      </c>
      <c r="AE24" s="5" t="s">
        <v>11</v>
      </c>
      <c r="AF24" s="5" t="s">
        <v>23</v>
      </c>
      <c r="AG24" s="5" t="s">
        <v>24</v>
      </c>
      <c r="AH24" s="5" t="s">
        <v>25</v>
      </c>
      <c r="AI24" s="5" t="s">
        <v>26</v>
      </c>
      <c r="AJ24" s="5" t="s">
        <v>27</v>
      </c>
      <c r="AK24" s="5" t="s">
        <v>28</v>
      </c>
      <c r="AL24" s="5" t="s">
        <v>29</v>
      </c>
      <c r="AM24" s="5" t="s">
        <v>30</v>
      </c>
      <c r="AN24" s="5" t="s">
        <v>31</v>
      </c>
      <c r="AO24" s="5" t="s">
        <v>15</v>
      </c>
      <c r="AP24" s="5" t="s">
        <v>16</v>
      </c>
    </row>
    <row r="25" spans="2:42" x14ac:dyDescent="0.25">
      <c r="W25" s="9"/>
      <c r="X25" s="9" t="s">
        <v>32</v>
      </c>
      <c r="Y25">
        <v>36</v>
      </c>
      <c r="Z25" s="9">
        <v>0</v>
      </c>
      <c r="AA25" s="9">
        <v>3</v>
      </c>
      <c r="AB25" s="16">
        <v>46000.603715277779</v>
      </c>
      <c r="AC25" s="9" t="s">
        <v>13</v>
      </c>
      <c r="AD25" s="9" t="s">
        <v>13</v>
      </c>
      <c r="AE25" s="9">
        <v>36</v>
      </c>
      <c r="AF25" s="9">
        <v>48</v>
      </c>
      <c r="AG25" s="9" t="s">
        <v>13</v>
      </c>
      <c r="AH25" s="9">
        <v>36</v>
      </c>
      <c r="AI25" s="9">
        <v>36</v>
      </c>
      <c r="AJ25" s="9">
        <v>1</v>
      </c>
      <c r="AK25" s="9">
        <v>36</v>
      </c>
      <c r="AL25" s="9" t="s">
        <v>13</v>
      </c>
      <c r="AM25" s="9" t="s">
        <v>36</v>
      </c>
      <c r="AN25" s="9">
        <v>1</v>
      </c>
      <c r="AO25" s="9" t="s">
        <v>65</v>
      </c>
      <c r="AP25" s="9">
        <v>2025</v>
      </c>
    </row>
    <row r="26" spans="2:42" x14ac:dyDescent="0.25">
      <c r="W26" s="9"/>
      <c r="X26" s="9" t="s">
        <v>33</v>
      </c>
      <c r="Y26">
        <v>72</v>
      </c>
      <c r="Z26" s="9">
        <v>36</v>
      </c>
      <c r="AA26" s="9">
        <v>3</v>
      </c>
      <c r="AB26" s="16">
        <v>46001.603715277779</v>
      </c>
      <c r="AC26" s="9" t="s">
        <v>13</v>
      </c>
      <c r="AD26" s="9" t="s">
        <v>13</v>
      </c>
      <c r="AE26" s="9">
        <v>36</v>
      </c>
      <c r="AF26" s="9">
        <v>48</v>
      </c>
      <c r="AG26" s="9" t="s">
        <v>13</v>
      </c>
      <c r="AH26" s="9">
        <v>36</v>
      </c>
      <c r="AI26" s="9">
        <v>36</v>
      </c>
      <c r="AJ26" s="9">
        <v>1</v>
      </c>
      <c r="AK26" s="9">
        <v>36</v>
      </c>
      <c r="AL26" s="9" t="s">
        <v>13</v>
      </c>
      <c r="AM26" s="9" t="s">
        <v>36</v>
      </c>
      <c r="AN26" s="9"/>
      <c r="AO26" s="9" t="s">
        <v>65</v>
      </c>
      <c r="AP26" s="9">
        <v>2025</v>
      </c>
    </row>
    <row r="27" spans="2:42" x14ac:dyDescent="0.25">
      <c r="W27" s="10"/>
      <c r="X27" s="10" t="s">
        <v>32</v>
      </c>
      <c r="Y27">
        <v>108</v>
      </c>
      <c r="Z27" s="10">
        <v>0</v>
      </c>
      <c r="AA27" s="10">
        <v>3</v>
      </c>
      <c r="AB27" s="19">
        <v>46000.603715277779</v>
      </c>
      <c r="AC27" s="10" t="s">
        <v>13</v>
      </c>
      <c r="AD27" s="10" t="s">
        <v>13</v>
      </c>
      <c r="AE27" s="10">
        <v>36</v>
      </c>
      <c r="AF27" s="10">
        <v>48</v>
      </c>
      <c r="AG27" s="10" t="s">
        <v>13</v>
      </c>
      <c r="AH27" s="10">
        <v>36</v>
      </c>
      <c r="AI27" s="10">
        <v>36</v>
      </c>
      <c r="AJ27" s="10">
        <v>1</v>
      </c>
      <c r="AK27" s="10">
        <v>36</v>
      </c>
      <c r="AL27" s="10" t="s">
        <v>13</v>
      </c>
      <c r="AM27" s="10" t="s">
        <v>38</v>
      </c>
      <c r="AN27" s="10">
        <v>1</v>
      </c>
      <c r="AO27" s="10" t="s">
        <v>66</v>
      </c>
      <c r="AP27" s="10">
        <v>2025</v>
      </c>
    </row>
    <row r="28" spans="2:42" x14ac:dyDescent="0.25">
      <c r="W28" s="10"/>
      <c r="X28" s="10" t="s">
        <v>33</v>
      </c>
      <c r="Y28">
        <v>144</v>
      </c>
      <c r="Z28" s="10">
        <f>Y28-36-36</f>
        <v>72</v>
      </c>
      <c r="AA28" s="10">
        <v>3</v>
      </c>
      <c r="AB28" s="19">
        <v>46001.603715277779</v>
      </c>
      <c r="AC28" s="10" t="s">
        <v>13</v>
      </c>
      <c r="AD28" s="10" t="s">
        <v>13</v>
      </c>
      <c r="AE28" s="10">
        <v>36</v>
      </c>
      <c r="AF28" s="10">
        <v>48</v>
      </c>
      <c r="AG28" s="10" t="s">
        <v>13</v>
      </c>
      <c r="AH28" s="10">
        <v>36</v>
      </c>
      <c r="AI28" s="10">
        <v>36</v>
      </c>
      <c r="AJ28" s="10">
        <v>1</v>
      </c>
      <c r="AK28" s="10">
        <v>36</v>
      </c>
      <c r="AL28" s="10" t="s">
        <v>13</v>
      </c>
      <c r="AM28" s="10" t="s">
        <v>38</v>
      </c>
      <c r="AN28" s="10"/>
      <c r="AO28" s="10" t="s">
        <v>66</v>
      </c>
      <c r="AP28" s="10">
        <v>2025</v>
      </c>
    </row>
    <row r="29" spans="2:42" x14ac:dyDescent="0.25">
      <c r="B29" t="s">
        <v>35</v>
      </c>
      <c r="W29" s="9"/>
      <c r="X29" s="9" t="s">
        <v>32</v>
      </c>
      <c r="Y29">
        <v>180</v>
      </c>
      <c r="Z29" s="9">
        <v>36</v>
      </c>
      <c r="AA29" s="9">
        <v>3</v>
      </c>
      <c r="AB29" s="16">
        <v>46000.603715277779</v>
      </c>
      <c r="AC29" s="9" t="s">
        <v>13</v>
      </c>
      <c r="AD29" s="9" t="s">
        <v>13</v>
      </c>
      <c r="AE29" s="9">
        <v>36</v>
      </c>
      <c r="AF29" s="9">
        <v>48</v>
      </c>
      <c r="AG29" s="9" t="s">
        <v>13</v>
      </c>
      <c r="AH29" s="9">
        <v>36</v>
      </c>
      <c r="AI29" s="9">
        <v>36</v>
      </c>
      <c r="AJ29" s="9">
        <v>1</v>
      </c>
      <c r="AK29" s="9">
        <v>36</v>
      </c>
      <c r="AL29" s="9" t="s">
        <v>13</v>
      </c>
      <c r="AM29" s="9" t="s">
        <v>53</v>
      </c>
      <c r="AN29" s="9"/>
      <c r="AO29" s="9" t="s">
        <v>34</v>
      </c>
      <c r="AP29" s="9">
        <v>2025</v>
      </c>
    </row>
    <row r="30" spans="2:42" x14ac:dyDescent="0.25">
      <c r="B30" t="s">
        <v>35</v>
      </c>
      <c r="W30" s="9"/>
      <c r="X30" s="9" t="s">
        <v>33</v>
      </c>
      <c r="Y30">
        <v>216</v>
      </c>
      <c r="Z30" s="9">
        <f>Y30-216</f>
        <v>0</v>
      </c>
      <c r="AA30" s="9">
        <v>3</v>
      </c>
      <c r="AB30" s="16">
        <v>46001.603715277779</v>
      </c>
      <c r="AC30" s="9" t="s">
        <v>13</v>
      </c>
      <c r="AD30" s="9" t="s">
        <v>13</v>
      </c>
      <c r="AE30" s="9">
        <v>36</v>
      </c>
      <c r="AF30" s="9">
        <v>48</v>
      </c>
      <c r="AG30" s="9" t="s">
        <v>13</v>
      </c>
      <c r="AH30" s="9">
        <v>36</v>
      </c>
      <c r="AI30" s="9">
        <v>36</v>
      </c>
      <c r="AJ30" s="9">
        <v>1</v>
      </c>
      <c r="AK30" s="9">
        <v>36</v>
      </c>
      <c r="AL30" s="9" t="s">
        <v>13</v>
      </c>
      <c r="AM30" s="9" t="s">
        <v>53</v>
      </c>
      <c r="AN30" s="9">
        <v>1</v>
      </c>
      <c r="AO30" s="9" t="s">
        <v>34</v>
      </c>
      <c r="AP30" s="9">
        <v>2025</v>
      </c>
    </row>
    <row r="31" spans="2:42" x14ac:dyDescent="0.25">
      <c r="B31" t="s">
        <v>37</v>
      </c>
      <c r="E31" t="s">
        <v>60</v>
      </c>
      <c r="W31" s="10"/>
      <c r="X31" s="10" t="s">
        <v>32</v>
      </c>
      <c r="Y31">
        <v>252</v>
      </c>
      <c r="Z31" s="10">
        <v>0</v>
      </c>
      <c r="AA31" s="10">
        <v>3</v>
      </c>
      <c r="AB31" s="19">
        <v>46002.603715277779</v>
      </c>
      <c r="AC31" s="10" t="s">
        <v>13</v>
      </c>
      <c r="AD31" s="10" t="s">
        <v>13</v>
      </c>
      <c r="AE31" s="10">
        <v>36</v>
      </c>
      <c r="AF31" s="10">
        <v>48</v>
      </c>
      <c r="AG31" s="10" t="s">
        <v>13</v>
      </c>
      <c r="AH31" s="10">
        <v>36</v>
      </c>
      <c r="AI31" s="10">
        <v>36</v>
      </c>
      <c r="AJ31" s="10">
        <v>2</v>
      </c>
      <c r="AK31" s="10">
        <v>36</v>
      </c>
      <c r="AL31" s="10" t="s">
        <v>13</v>
      </c>
      <c r="AM31" s="10" t="s">
        <v>54</v>
      </c>
      <c r="AN31" s="10"/>
      <c r="AO31" s="10" t="s">
        <v>37</v>
      </c>
      <c r="AP31" s="10">
        <v>2025</v>
      </c>
    </row>
    <row r="32" spans="2:42" x14ac:dyDescent="0.25">
      <c r="B32" t="s">
        <v>37</v>
      </c>
      <c r="W32" s="10"/>
      <c r="X32" s="10" t="s">
        <v>33</v>
      </c>
      <c r="Y32">
        <v>288</v>
      </c>
      <c r="Z32" s="10">
        <v>36</v>
      </c>
      <c r="AA32" s="10">
        <v>3</v>
      </c>
      <c r="AB32" s="19">
        <v>46003.603715277779</v>
      </c>
      <c r="AC32" s="10" t="s">
        <v>13</v>
      </c>
      <c r="AD32" s="10" t="s">
        <v>13</v>
      </c>
      <c r="AE32" s="10">
        <v>36</v>
      </c>
      <c r="AF32" s="10">
        <v>48</v>
      </c>
      <c r="AG32" s="10" t="s">
        <v>13</v>
      </c>
      <c r="AH32" s="10">
        <v>36</v>
      </c>
      <c r="AI32" s="10">
        <v>36</v>
      </c>
      <c r="AJ32" s="10">
        <v>2</v>
      </c>
      <c r="AK32" s="10">
        <v>36</v>
      </c>
      <c r="AL32" s="10" t="s">
        <v>13</v>
      </c>
      <c r="AM32" s="10" t="s">
        <v>54</v>
      </c>
      <c r="AN32" s="10"/>
      <c r="AO32" s="10" t="s">
        <v>37</v>
      </c>
      <c r="AP32" s="10">
        <v>2025</v>
      </c>
    </row>
    <row r="34" spans="4:42" x14ac:dyDescent="0.25">
      <c r="X34" s="17" t="s">
        <v>33</v>
      </c>
      <c r="Y34" s="17">
        <v>360</v>
      </c>
      <c r="Z34" s="17">
        <v>36</v>
      </c>
      <c r="AA34" s="17">
        <v>3</v>
      </c>
      <c r="AB34" s="18">
        <v>46001.603715277779</v>
      </c>
      <c r="AC34" s="17" t="s">
        <v>13</v>
      </c>
      <c r="AD34" s="17" t="s">
        <v>13</v>
      </c>
      <c r="AE34" s="17">
        <v>36</v>
      </c>
      <c r="AF34" s="17">
        <v>48</v>
      </c>
      <c r="AG34" s="17" t="s">
        <v>13</v>
      </c>
      <c r="AH34" s="17">
        <v>36</v>
      </c>
      <c r="AI34" s="17">
        <v>36</v>
      </c>
      <c r="AJ34" s="17">
        <v>2</v>
      </c>
      <c r="AK34" s="17">
        <v>36</v>
      </c>
      <c r="AL34" s="17" t="s">
        <v>13</v>
      </c>
      <c r="AM34" s="17" t="s">
        <v>55</v>
      </c>
      <c r="AN34" s="17"/>
      <c r="AO34" s="17" t="s">
        <v>35</v>
      </c>
      <c r="AP34" s="17">
        <v>2025</v>
      </c>
    </row>
    <row r="35" spans="4:42" x14ac:dyDescent="0.25">
      <c r="X35" s="9" t="s">
        <v>32</v>
      </c>
      <c r="Y35">
        <v>396</v>
      </c>
      <c r="Z35" s="9">
        <f t="shared" ref="Z35:Z36" si="1">Y35</f>
        <v>396</v>
      </c>
      <c r="AA35" s="9">
        <v>3</v>
      </c>
      <c r="AB35" s="16">
        <v>46002.603715277779</v>
      </c>
      <c r="AC35" s="9" t="s">
        <v>13</v>
      </c>
      <c r="AD35" s="9" t="s">
        <v>13</v>
      </c>
      <c r="AE35" s="9">
        <v>36</v>
      </c>
      <c r="AF35" s="9">
        <v>48</v>
      </c>
      <c r="AG35" s="9" t="s">
        <v>13</v>
      </c>
      <c r="AH35" s="9">
        <v>36</v>
      </c>
      <c r="AI35" s="9">
        <v>36</v>
      </c>
      <c r="AJ35" s="9">
        <v>2</v>
      </c>
      <c r="AK35" s="9">
        <v>36</v>
      </c>
      <c r="AL35" s="9" t="s">
        <v>13</v>
      </c>
      <c r="AM35" s="9" t="s">
        <v>70</v>
      </c>
      <c r="AN35" s="9"/>
      <c r="AO35" s="9" t="s">
        <v>69</v>
      </c>
      <c r="AP35" s="9">
        <v>2025</v>
      </c>
    </row>
    <row r="36" spans="4:42" x14ac:dyDescent="0.25">
      <c r="X36" s="9" t="s">
        <v>33</v>
      </c>
      <c r="Y36">
        <v>432</v>
      </c>
      <c r="Z36" s="9">
        <f t="shared" si="1"/>
        <v>432</v>
      </c>
      <c r="AA36" s="9">
        <v>3</v>
      </c>
      <c r="AB36" s="16">
        <v>46003.603715277779</v>
      </c>
      <c r="AC36" s="9" t="s">
        <v>13</v>
      </c>
      <c r="AD36" s="9" t="s">
        <v>13</v>
      </c>
      <c r="AE36" s="9">
        <v>36</v>
      </c>
      <c r="AF36" s="9">
        <v>48</v>
      </c>
      <c r="AG36" s="9" t="s">
        <v>13</v>
      </c>
      <c r="AH36" s="9">
        <v>36</v>
      </c>
      <c r="AI36" s="9">
        <v>36</v>
      </c>
      <c r="AJ36" s="9">
        <v>2</v>
      </c>
      <c r="AK36" s="9">
        <v>36</v>
      </c>
      <c r="AL36" s="9" t="s">
        <v>13</v>
      </c>
      <c r="AM36" s="9" t="s">
        <v>70</v>
      </c>
      <c r="AN36" s="9"/>
      <c r="AO36" s="9" t="s">
        <v>48</v>
      </c>
      <c r="AP36" s="9">
        <v>2026</v>
      </c>
    </row>
    <row r="37" spans="4:42" x14ac:dyDescent="0.25">
      <c r="X37" s="17" t="s">
        <v>32</v>
      </c>
      <c r="Y37" s="17">
        <v>468</v>
      </c>
      <c r="Z37" s="17">
        <v>0</v>
      </c>
      <c r="AA37" s="17">
        <v>3</v>
      </c>
      <c r="AB37" s="18">
        <v>46000.603715277779</v>
      </c>
      <c r="AC37" s="17" t="s">
        <v>13</v>
      </c>
      <c r="AD37" s="17" t="s">
        <v>13</v>
      </c>
      <c r="AE37" s="17">
        <v>36</v>
      </c>
      <c r="AF37" s="17">
        <v>48</v>
      </c>
      <c r="AG37" s="17" t="s">
        <v>13</v>
      </c>
      <c r="AH37" s="17">
        <v>36</v>
      </c>
      <c r="AI37" s="17">
        <v>36</v>
      </c>
      <c r="AJ37" s="17">
        <v>2</v>
      </c>
      <c r="AK37" s="17">
        <v>36</v>
      </c>
      <c r="AL37" s="17" t="s">
        <v>13</v>
      </c>
      <c r="AM37" s="17" t="s">
        <v>71</v>
      </c>
      <c r="AN37" s="17"/>
      <c r="AO37" s="17" t="s">
        <v>49</v>
      </c>
      <c r="AP37" s="17">
        <v>2026</v>
      </c>
    </row>
    <row r="38" spans="4:42" x14ac:dyDescent="0.25">
      <c r="X38" s="17" t="s">
        <v>33</v>
      </c>
      <c r="Y38" s="17">
        <v>504</v>
      </c>
      <c r="Z38" s="17">
        <v>36</v>
      </c>
      <c r="AA38" s="17">
        <v>3</v>
      </c>
      <c r="AB38" s="18">
        <v>46001.603715277779</v>
      </c>
      <c r="AC38" s="17" t="s">
        <v>13</v>
      </c>
      <c r="AD38" s="17" t="s">
        <v>13</v>
      </c>
      <c r="AE38" s="17">
        <v>36</v>
      </c>
      <c r="AF38" s="17">
        <v>48</v>
      </c>
      <c r="AG38" s="17" t="s">
        <v>13</v>
      </c>
      <c r="AH38" s="17">
        <v>36</v>
      </c>
      <c r="AI38" s="17">
        <v>36</v>
      </c>
      <c r="AJ38" s="17">
        <v>2</v>
      </c>
      <c r="AK38" s="17">
        <v>36</v>
      </c>
      <c r="AL38" s="17" t="s">
        <v>13</v>
      </c>
      <c r="AM38" s="17" t="s">
        <v>71</v>
      </c>
      <c r="AN38" s="17"/>
      <c r="AO38" s="17" t="s">
        <v>50</v>
      </c>
      <c r="AP38" s="17">
        <v>2026</v>
      </c>
    </row>
    <row r="39" spans="4:42" x14ac:dyDescent="0.25">
      <c r="F39">
        <v>36</v>
      </c>
      <c r="X39" s="9" t="s">
        <v>32</v>
      </c>
      <c r="Y39">
        <v>540</v>
      </c>
      <c r="Z39" s="9">
        <f t="shared" ref="Z39:Z40" si="2">Y39</f>
        <v>540</v>
      </c>
      <c r="AA39" s="9">
        <v>3</v>
      </c>
      <c r="AB39" s="16">
        <v>46002.603715277779</v>
      </c>
      <c r="AC39" s="9" t="s">
        <v>13</v>
      </c>
      <c r="AD39" s="9" t="s">
        <v>13</v>
      </c>
      <c r="AE39" s="9">
        <v>36</v>
      </c>
      <c r="AF39" s="9">
        <v>48</v>
      </c>
      <c r="AG39" s="9" t="s">
        <v>13</v>
      </c>
      <c r="AH39" s="9">
        <v>36</v>
      </c>
      <c r="AI39" s="9">
        <v>36</v>
      </c>
      <c r="AJ39" s="9">
        <v>2</v>
      </c>
      <c r="AK39" s="9">
        <v>36</v>
      </c>
      <c r="AL39" s="9" t="s">
        <v>13</v>
      </c>
      <c r="AM39" s="9" t="s">
        <v>72</v>
      </c>
      <c r="AN39" s="9"/>
      <c r="AO39" s="9" t="s">
        <v>67</v>
      </c>
      <c r="AP39" s="9">
        <v>2026</v>
      </c>
    </row>
    <row r="40" spans="4:42" x14ac:dyDescent="0.25">
      <c r="D40" t="s">
        <v>38</v>
      </c>
      <c r="F40">
        <v>36</v>
      </c>
      <c r="X40" s="9" t="s">
        <v>33</v>
      </c>
      <c r="Y40">
        <v>576</v>
      </c>
      <c r="Z40" s="9">
        <f t="shared" si="2"/>
        <v>576</v>
      </c>
      <c r="AA40" s="9">
        <v>3</v>
      </c>
      <c r="AB40" s="16">
        <v>46003.603715277779</v>
      </c>
      <c r="AC40" s="9" t="s">
        <v>13</v>
      </c>
      <c r="AD40" s="9" t="s">
        <v>13</v>
      </c>
      <c r="AE40" s="9">
        <v>36</v>
      </c>
      <c r="AF40" s="9">
        <v>48</v>
      </c>
      <c r="AG40" s="9" t="s">
        <v>13</v>
      </c>
      <c r="AH40" s="9">
        <v>36</v>
      </c>
      <c r="AI40" s="9">
        <v>36</v>
      </c>
      <c r="AJ40" s="9">
        <v>2</v>
      </c>
      <c r="AK40" s="9">
        <v>36</v>
      </c>
      <c r="AL40" s="9" t="s">
        <v>13</v>
      </c>
      <c r="AM40" s="9" t="s">
        <v>72</v>
      </c>
      <c r="AN40" s="9"/>
      <c r="AO40" s="9" t="s">
        <v>68</v>
      </c>
      <c r="AP40" s="9">
        <v>2026</v>
      </c>
    </row>
    <row r="41" spans="4:42" x14ac:dyDescent="0.25">
      <c r="D41" t="s">
        <v>53</v>
      </c>
      <c r="F41">
        <v>28</v>
      </c>
      <c r="X41" s="17" t="s">
        <v>32</v>
      </c>
      <c r="Y41" s="17">
        <v>612</v>
      </c>
      <c r="Z41" s="17">
        <v>0</v>
      </c>
      <c r="AA41" s="17">
        <v>3</v>
      </c>
      <c r="AB41" s="18">
        <v>46000.603715277779</v>
      </c>
      <c r="AC41" s="17" t="s">
        <v>13</v>
      </c>
      <c r="AD41" s="17" t="s">
        <v>13</v>
      </c>
      <c r="AE41" s="17">
        <v>36</v>
      </c>
      <c r="AF41" s="17">
        <v>48</v>
      </c>
      <c r="AG41" s="17" t="s">
        <v>13</v>
      </c>
      <c r="AH41" s="17">
        <v>36</v>
      </c>
      <c r="AI41" s="17">
        <v>36</v>
      </c>
      <c r="AJ41" s="17">
        <v>2</v>
      </c>
      <c r="AK41" s="17">
        <v>36</v>
      </c>
      <c r="AL41" s="17" t="s">
        <v>13</v>
      </c>
      <c r="AM41" s="17" t="s">
        <v>73</v>
      </c>
      <c r="AN41" s="17"/>
      <c r="AO41" s="17" t="s">
        <v>65</v>
      </c>
      <c r="AP41" s="17">
        <v>2026</v>
      </c>
    </row>
    <row r="42" spans="4:42" x14ac:dyDescent="0.25">
      <c r="X42" s="17" t="s">
        <v>33</v>
      </c>
      <c r="Y42" s="17">
        <v>648</v>
      </c>
      <c r="Z42" s="17">
        <v>36</v>
      </c>
      <c r="AA42" s="17">
        <v>3</v>
      </c>
      <c r="AB42" s="18">
        <v>46001.603715277779</v>
      </c>
      <c r="AC42" s="17" t="s">
        <v>13</v>
      </c>
      <c r="AD42" s="17" t="s">
        <v>13</v>
      </c>
      <c r="AE42" s="17">
        <v>36</v>
      </c>
      <c r="AF42" s="17">
        <v>48</v>
      </c>
      <c r="AG42" s="17" t="s">
        <v>13</v>
      </c>
      <c r="AH42" s="17">
        <v>36</v>
      </c>
      <c r="AI42" s="17">
        <v>36</v>
      </c>
      <c r="AJ42" s="17">
        <v>2</v>
      </c>
      <c r="AK42" s="17">
        <v>36</v>
      </c>
      <c r="AL42" s="17" t="s">
        <v>13</v>
      </c>
      <c r="AM42" s="17" t="s">
        <v>73</v>
      </c>
      <c r="AN42" s="17"/>
      <c r="AO42" s="17" t="s">
        <v>66</v>
      </c>
      <c r="AP42" s="17">
        <v>2026</v>
      </c>
    </row>
  </sheetData>
  <mergeCells count="1">
    <mergeCell ref="W23:AP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topLeftCell="A4" zoomScale="145" zoomScaleNormal="145" workbookViewId="0">
      <selection activeCell="S16" sqref="S16:T25"/>
    </sheetView>
  </sheetViews>
  <sheetFormatPr defaultRowHeight="15" x14ac:dyDescent="0.25"/>
  <cols>
    <col min="1" max="1" width="3" bestFit="1" customWidth="1"/>
    <col min="2" max="2" width="12.7109375" bestFit="1" customWidth="1"/>
    <col min="3" max="3" width="15.42578125" customWidth="1"/>
    <col min="4" max="4" width="20.7109375" customWidth="1"/>
    <col min="5" max="5" width="19" customWidth="1"/>
    <col min="6" max="6" width="17.140625" customWidth="1"/>
    <col min="7" max="7" width="15.42578125" customWidth="1"/>
    <col min="8" max="8" width="18.42578125" customWidth="1"/>
    <col min="9" max="9" width="15.140625" hidden="1" customWidth="1"/>
    <col min="10" max="10" width="10.5703125" hidden="1" customWidth="1"/>
    <col min="11" max="11" width="7.5703125" hidden="1" customWidth="1"/>
    <col min="12" max="12" width="12.28515625" hidden="1" customWidth="1"/>
    <col min="13" max="13" width="10.42578125" hidden="1" customWidth="1"/>
    <col min="14" max="14" width="14" hidden="1" customWidth="1"/>
    <col min="15" max="15" width="11.28515625" hidden="1" customWidth="1"/>
    <col min="16" max="16" width="13.85546875" hidden="1" customWidth="1"/>
    <col min="17" max="17" width="11.140625" customWidth="1"/>
    <col min="18" max="18" width="11.5703125" customWidth="1"/>
    <col min="19" max="19" width="6.85546875" customWidth="1"/>
    <col min="20" max="20" width="6" customWidth="1"/>
    <col min="21" max="22" width="9.140625" customWidth="1"/>
    <col min="24" max="24" width="15.140625" customWidth="1"/>
    <col min="27" max="27" width="12.85546875" customWidth="1"/>
  </cols>
  <sheetData>
    <row r="1" spans="1:20" x14ac:dyDescent="0.25">
      <c r="A1" s="25" t="s">
        <v>57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2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30</v>
      </c>
    </row>
    <row r="3" spans="1:20" x14ac:dyDescent="0.25">
      <c r="A3" s="10"/>
      <c r="B3" s="10" t="s">
        <v>67</v>
      </c>
      <c r="C3" s="10" t="s">
        <v>66</v>
      </c>
      <c r="D3" s="10" t="s">
        <v>74</v>
      </c>
      <c r="E3" s="10" t="s">
        <v>11</v>
      </c>
      <c r="F3" s="10" t="s">
        <v>12</v>
      </c>
      <c r="G3" s="10" t="s">
        <v>13</v>
      </c>
      <c r="H3" s="10">
        <v>1</v>
      </c>
      <c r="I3" s="10">
        <v>2025</v>
      </c>
      <c r="J3" s="10">
        <v>2025</v>
      </c>
      <c r="K3" s="10" t="s">
        <v>36</v>
      </c>
    </row>
    <row r="4" spans="1:20" x14ac:dyDescent="0.25">
      <c r="A4" s="10"/>
      <c r="B4" s="10" t="s">
        <v>68</v>
      </c>
      <c r="C4" s="10" t="s">
        <v>34</v>
      </c>
      <c r="D4" s="10" t="s">
        <v>75</v>
      </c>
      <c r="E4" s="10" t="s">
        <v>11</v>
      </c>
      <c r="F4" s="10" t="s">
        <v>12</v>
      </c>
      <c r="G4" s="10" t="s">
        <v>13</v>
      </c>
      <c r="H4" s="10">
        <v>1</v>
      </c>
      <c r="I4" s="10">
        <v>2025</v>
      </c>
      <c r="J4" s="10">
        <v>2025</v>
      </c>
      <c r="K4" s="10" t="s">
        <v>38</v>
      </c>
    </row>
    <row r="5" spans="1:20" x14ac:dyDescent="0.25">
      <c r="A5" s="10"/>
      <c r="B5" s="10" t="s">
        <v>65</v>
      </c>
      <c r="C5" s="10" t="s">
        <v>37</v>
      </c>
      <c r="D5" s="10" t="s">
        <v>76</v>
      </c>
      <c r="E5" s="10" t="s">
        <v>11</v>
      </c>
      <c r="F5" s="10" t="s">
        <v>12</v>
      </c>
      <c r="G5" s="10" t="s">
        <v>13</v>
      </c>
      <c r="H5" s="10">
        <v>1</v>
      </c>
      <c r="I5" s="10">
        <v>2025</v>
      </c>
      <c r="J5" s="10">
        <v>2025</v>
      </c>
      <c r="K5" s="10" t="s">
        <v>53</v>
      </c>
    </row>
    <row r="6" spans="1:20" x14ac:dyDescent="0.25">
      <c r="A6" s="10"/>
      <c r="B6" s="10" t="s">
        <v>66</v>
      </c>
      <c r="C6" s="10" t="s">
        <v>51</v>
      </c>
      <c r="D6" s="10" t="s">
        <v>77</v>
      </c>
      <c r="E6" s="10" t="s">
        <v>11</v>
      </c>
      <c r="F6" s="10" t="s">
        <v>12</v>
      </c>
      <c r="G6" s="10" t="s">
        <v>13</v>
      </c>
      <c r="H6" s="10">
        <v>1</v>
      </c>
      <c r="I6" s="10">
        <v>2025</v>
      </c>
      <c r="J6" s="10">
        <v>2025</v>
      </c>
      <c r="K6" s="10" t="s">
        <v>54</v>
      </c>
    </row>
    <row r="7" spans="1:20" x14ac:dyDescent="0.25">
      <c r="A7" s="9"/>
      <c r="B7" s="9" t="s">
        <v>34</v>
      </c>
      <c r="C7" s="9" t="s">
        <v>35</v>
      </c>
      <c r="D7" s="9" t="s">
        <v>78</v>
      </c>
      <c r="E7" s="9" t="s">
        <v>11</v>
      </c>
      <c r="F7" s="9" t="s">
        <v>12</v>
      </c>
      <c r="G7" s="9" t="s">
        <v>13</v>
      </c>
      <c r="H7" s="9">
        <v>1</v>
      </c>
      <c r="I7" s="9">
        <v>2025</v>
      </c>
      <c r="J7" s="9">
        <v>2025</v>
      </c>
      <c r="K7" s="9" t="s">
        <v>55</v>
      </c>
    </row>
    <row r="8" spans="1:20" x14ac:dyDescent="0.25">
      <c r="A8" s="9"/>
      <c r="B8" s="9" t="s">
        <v>37</v>
      </c>
      <c r="C8" s="9" t="s">
        <v>69</v>
      </c>
      <c r="D8" s="9" t="s">
        <v>79</v>
      </c>
      <c r="E8" s="9" t="s">
        <v>11</v>
      </c>
      <c r="F8" s="9" t="s">
        <v>12</v>
      </c>
      <c r="G8" s="9" t="s">
        <v>13</v>
      </c>
      <c r="H8" s="9">
        <v>1</v>
      </c>
      <c r="I8" s="9">
        <v>2025</v>
      </c>
      <c r="J8" s="9">
        <v>2025</v>
      </c>
      <c r="K8" s="9" t="s">
        <v>70</v>
      </c>
      <c r="L8" s="9"/>
      <c r="M8" s="9"/>
      <c r="N8" s="9"/>
      <c r="O8" s="9"/>
      <c r="P8" s="9"/>
      <c r="R8">
        <v>72</v>
      </c>
    </row>
    <row r="9" spans="1:20" x14ac:dyDescent="0.25">
      <c r="A9" s="9"/>
      <c r="B9" s="9" t="s">
        <v>51</v>
      </c>
      <c r="C9" s="9" t="s">
        <v>48</v>
      </c>
      <c r="D9" s="9" t="s">
        <v>80</v>
      </c>
      <c r="E9" s="9" t="s">
        <v>11</v>
      </c>
      <c r="F9" s="9" t="s">
        <v>12</v>
      </c>
      <c r="G9" s="9" t="s">
        <v>13</v>
      </c>
      <c r="H9" s="9">
        <v>1</v>
      </c>
      <c r="I9" s="9">
        <v>2025</v>
      </c>
      <c r="J9" s="9">
        <v>2025</v>
      </c>
      <c r="K9" s="9" t="s">
        <v>71</v>
      </c>
      <c r="L9" s="9"/>
      <c r="M9" s="9"/>
      <c r="N9" s="9"/>
      <c r="O9" s="9"/>
      <c r="P9" s="9"/>
    </row>
    <row r="10" spans="1:20" x14ac:dyDescent="0.25">
      <c r="A10" s="9"/>
      <c r="B10" s="9" t="s">
        <v>35</v>
      </c>
      <c r="C10" s="9" t="s">
        <v>49</v>
      </c>
      <c r="D10" s="9" t="s">
        <v>81</v>
      </c>
      <c r="E10" s="9" t="s">
        <v>11</v>
      </c>
      <c r="F10" s="9" t="s">
        <v>12</v>
      </c>
      <c r="G10" s="9" t="s">
        <v>13</v>
      </c>
      <c r="H10" s="9">
        <v>1</v>
      </c>
      <c r="I10" s="9">
        <v>2025</v>
      </c>
      <c r="J10" s="9">
        <v>2025</v>
      </c>
      <c r="K10" s="9" t="s">
        <v>72</v>
      </c>
      <c r="L10" s="9"/>
      <c r="M10" s="9"/>
      <c r="N10" s="9"/>
      <c r="O10" s="9"/>
      <c r="P10" s="9"/>
    </row>
    <row r="11" spans="1:20" x14ac:dyDescent="0.25">
      <c r="A11" s="9"/>
      <c r="B11" s="9" t="s">
        <v>69</v>
      </c>
      <c r="C11" s="9" t="s">
        <v>50</v>
      </c>
      <c r="D11" s="9" t="s">
        <v>82</v>
      </c>
      <c r="E11" s="9" t="s">
        <v>11</v>
      </c>
      <c r="F11" s="9" t="s">
        <v>12</v>
      </c>
      <c r="G11" s="9" t="s">
        <v>13</v>
      </c>
      <c r="H11" s="9">
        <v>1</v>
      </c>
      <c r="I11" s="9">
        <v>2025</v>
      </c>
      <c r="J11" s="9">
        <v>2025</v>
      </c>
      <c r="K11" s="9" t="s">
        <v>73</v>
      </c>
      <c r="L11" s="9"/>
      <c r="M11" s="9"/>
      <c r="N11" s="9"/>
      <c r="O11" s="9"/>
      <c r="P11" s="9"/>
    </row>
    <row r="14" spans="1:20" x14ac:dyDescent="0.25">
      <c r="A14" s="25" t="s">
        <v>56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25">
      <c r="A15" s="5" t="s">
        <v>0</v>
      </c>
      <c r="B15" s="5" t="s">
        <v>14</v>
      </c>
      <c r="C15" s="5" t="s">
        <v>17</v>
      </c>
      <c r="D15" s="5" t="s">
        <v>18</v>
      </c>
      <c r="E15" s="5" t="s">
        <v>19</v>
      </c>
      <c r="F15" s="5" t="s">
        <v>20</v>
      </c>
      <c r="G15" s="5" t="s">
        <v>21</v>
      </c>
      <c r="H15" s="5" t="s">
        <v>22</v>
      </c>
      <c r="I15" s="5" t="s">
        <v>11</v>
      </c>
      <c r="J15" s="5" t="s">
        <v>23</v>
      </c>
      <c r="K15" s="5" t="s">
        <v>24</v>
      </c>
      <c r="L15" s="5" t="s">
        <v>25</v>
      </c>
      <c r="M15" s="5" t="s">
        <v>26</v>
      </c>
      <c r="N15" s="5" t="s">
        <v>27</v>
      </c>
      <c r="O15" s="5" t="s">
        <v>28</v>
      </c>
      <c r="P15" s="5" t="s">
        <v>29</v>
      </c>
      <c r="Q15" s="5" t="s">
        <v>30</v>
      </c>
      <c r="R15" s="5" t="s">
        <v>31</v>
      </c>
      <c r="S15" s="5" t="s">
        <v>15</v>
      </c>
      <c r="T15" s="5" t="s">
        <v>16</v>
      </c>
    </row>
    <row r="16" spans="1:20" x14ac:dyDescent="0.25">
      <c r="A16" s="9"/>
      <c r="B16" s="15" t="s">
        <v>32</v>
      </c>
      <c r="C16" s="15">
        <v>36</v>
      </c>
      <c r="D16" s="15">
        <v>0</v>
      </c>
      <c r="E16" s="15">
        <v>3</v>
      </c>
      <c r="F16" s="24">
        <v>46000.603715277779</v>
      </c>
      <c r="G16" s="15" t="s">
        <v>13</v>
      </c>
      <c r="H16" s="15" t="s">
        <v>13</v>
      </c>
      <c r="I16" s="15">
        <v>36</v>
      </c>
      <c r="J16" s="15">
        <v>48</v>
      </c>
      <c r="K16" s="15" t="s">
        <v>13</v>
      </c>
      <c r="L16" s="15">
        <v>36</v>
      </c>
      <c r="M16" s="15">
        <v>36</v>
      </c>
      <c r="N16" s="15">
        <v>1</v>
      </c>
      <c r="O16" s="15">
        <v>36</v>
      </c>
      <c r="P16" s="15" t="s">
        <v>13</v>
      </c>
      <c r="Q16" s="15" t="s">
        <v>36</v>
      </c>
      <c r="R16" s="15">
        <v>1</v>
      </c>
      <c r="S16" s="15" t="s">
        <v>66</v>
      </c>
      <c r="T16" s="9">
        <v>2025</v>
      </c>
    </row>
    <row r="17" spans="1:20" x14ac:dyDescent="0.25">
      <c r="A17" s="9"/>
      <c r="B17" s="15" t="s">
        <v>33</v>
      </c>
      <c r="C17" s="15">
        <v>72</v>
      </c>
      <c r="D17" s="15">
        <v>0</v>
      </c>
      <c r="E17" s="15">
        <v>3</v>
      </c>
      <c r="F17" s="24">
        <v>46001.603715277779</v>
      </c>
      <c r="G17" s="15" t="s">
        <v>13</v>
      </c>
      <c r="H17" s="15" t="s">
        <v>13</v>
      </c>
      <c r="I17" s="15">
        <v>36</v>
      </c>
      <c r="J17" s="15">
        <v>48</v>
      </c>
      <c r="K17" s="15" t="s">
        <v>13</v>
      </c>
      <c r="L17" s="15">
        <v>36</v>
      </c>
      <c r="M17" s="15">
        <v>36</v>
      </c>
      <c r="N17" s="15">
        <v>1</v>
      </c>
      <c r="O17" s="15">
        <v>36</v>
      </c>
      <c r="P17" s="15" t="s">
        <v>13</v>
      </c>
      <c r="Q17" s="15" t="s">
        <v>36</v>
      </c>
      <c r="R17" s="15">
        <v>1</v>
      </c>
      <c r="S17" s="15" t="s">
        <v>66</v>
      </c>
      <c r="T17" s="9">
        <v>2025</v>
      </c>
    </row>
    <row r="18" spans="1:20" x14ac:dyDescent="0.25">
      <c r="A18" s="10"/>
      <c r="B18" s="10" t="s">
        <v>32</v>
      </c>
      <c r="C18">
        <v>108</v>
      </c>
      <c r="D18" s="10">
        <v>0</v>
      </c>
      <c r="E18" s="10">
        <v>3</v>
      </c>
      <c r="F18" s="19">
        <v>46000.603715277779</v>
      </c>
      <c r="G18" s="10" t="s">
        <v>13</v>
      </c>
      <c r="H18" s="10" t="s">
        <v>13</v>
      </c>
      <c r="I18" s="10">
        <v>36</v>
      </c>
      <c r="J18" s="10">
        <v>48</v>
      </c>
      <c r="K18" s="10" t="s">
        <v>13</v>
      </c>
      <c r="L18" s="10">
        <v>36</v>
      </c>
      <c r="M18" s="10">
        <v>36</v>
      </c>
      <c r="N18" s="10">
        <v>1</v>
      </c>
      <c r="O18" s="10">
        <v>36</v>
      </c>
      <c r="P18" s="10" t="s">
        <v>13</v>
      </c>
      <c r="Q18" s="10" t="s">
        <v>38</v>
      </c>
      <c r="R18" s="10">
        <v>1</v>
      </c>
      <c r="S18" s="10" t="s">
        <v>34</v>
      </c>
      <c r="T18" s="10">
        <v>2025</v>
      </c>
    </row>
    <row r="19" spans="1:20" x14ac:dyDescent="0.25">
      <c r="A19" s="10"/>
      <c r="B19" s="10" t="s">
        <v>33</v>
      </c>
      <c r="C19">
        <v>144</v>
      </c>
      <c r="D19" s="10">
        <v>0</v>
      </c>
      <c r="E19" s="10">
        <v>3</v>
      </c>
      <c r="F19" s="19">
        <v>46001.603715277779</v>
      </c>
      <c r="G19" s="10" t="s">
        <v>13</v>
      </c>
      <c r="H19" s="10" t="s">
        <v>13</v>
      </c>
      <c r="I19" s="10">
        <v>36</v>
      </c>
      <c r="J19" s="10">
        <v>48</v>
      </c>
      <c r="K19" s="10" t="s">
        <v>13</v>
      </c>
      <c r="L19" s="10">
        <v>36</v>
      </c>
      <c r="M19" s="10">
        <v>36</v>
      </c>
      <c r="N19" s="10">
        <v>1</v>
      </c>
      <c r="O19" s="10">
        <v>36</v>
      </c>
      <c r="P19" s="10" t="s">
        <v>13</v>
      </c>
      <c r="Q19" s="10" t="s">
        <v>38</v>
      </c>
      <c r="R19" s="10"/>
      <c r="S19" s="10" t="s">
        <v>34</v>
      </c>
      <c r="T19" s="10">
        <v>2025</v>
      </c>
    </row>
    <row r="20" spans="1:20" x14ac:dyDescent="0.25">
      <c r="A20" s="9"/>
      <c r="B20" s="9" t="s">
        <v>32</v>
      </c>
      <c r="C20">
        <v>180</v>
      </c>
      <c r="D20" s="9">
        <v>0</v>
      </c>
      <c r="E20" s="9">
        <v>3</v>
      </c>
      <c r="F20" s="16">
        <v>46000.603715277779</v>
      </c>
      <c r="G20" s="9" t="s">
        <v>13</v>
      </c>
      <c r="H20" s="9" t="s">
        <v>13</v>
      </c>
      <c r="I20" s="9">
        <v>36</v>
      </c>
      <c r="J20" s="9">
        <v>48</v>
      </c>
      <c r="K20" s="9" t="s">
        <v>13</v>
      </c>
      <c r="L20" s="9">
        <v>36</v>
      </c>
      <c r="M20" s="9">
        <v>36</v>
      </c>
      <c r="N20" s="9">
        <v>1</v>
      </c>
      <c r="O20" s="9">
        <v>36</v>
      </c>
      <c r="P20" s="9" t="s">
        <v>13</v>
      </c>
      <c r="Q20" s="9" t="s">
        <v>53</v>
      </c>
      <c r="R20" s="9"/>
      <c r="S20" s="9" t="s">
        <v>37</v>
      </c>
      <c r="T20" s="9">
        <v>2025</v>
      </c>
    </row>
    <row r="21" spans="1:20" x14ac:dyDescent="0.25">
      <c r="A21" s="9"/>
      <c r="B21" s="9" t="s">
        <v>33</v>
      </c>
      <c r="C21">
        <v>216</v>
      </c>
      <c r="D21" s="9">
        <f>C21-216</f>
        <v>0</v>
      </c>
      <c r="E21" s="9">
        <v>3</v>
      </c>
      <c r="F21" s="16">
        <v>46001.603715277779</v>
      </c>
      <c r="G21" s="9" t="s">
        <v>13</v>
      </c>
      <c r="H21" s="9" t="s">
        <v>13</v>
      </c>
      <c r="I21" s="9">
        <v>36</v>
      </c>
      <c r="J21" s="9">
        <v>48</v>
      </c>
      <c r="K21" s="9" t="s">
        <v>13</v>
      </c>
      <c r="L21" s="9">
        <v>36</v>
      </c>
      <c r="M21" s="9">
        <v>36</v>
      </c>
      <c r="N21" s="9">
        <v>1</v>
      </c>
      <c r="O21" s="9">
        <v>36</v>
      </c>
      <c r="P21" s="9" t="s">
        <v>13</v>
      </c>
      <c r="Q21" s="9" t="s">
        <v>53</v>
      </c>
      <c r="R21" s="9">
        <v>1</v>
      </c>
      <c r="S21" s="9" t="s">
        <v>37</v>
      </c>
      <c r="T21" s="9">
        <v>2025</v>
      </c>
    </row>
    <row r="22" spans="1:20" x14ac:dyDescent="0.25">
      <c r="A22" s="10"/>
      <c r="B22" s="10" t="s">
        <v>32</v>
      </c>
      <c r="C22">
        <v>252</v>
      </c>
      <c r="D22" s="10">
        <v>0</v>
      </c>
      <c r="E22" s="10">
        <v>3</v>
      </c>
      <c r="F22" s="19">
        <v>46002.603715277779</v>
      </c>
      <c r="G22" s="10" t="s">
        <v>13</v>
      </c>
      <c r="H22" s="10" t="s">
        <v>13</v>
      </c>
      <c r="I22" s="10">
        <v>36</v>
      </c>
      <c r="J22" s="10">
        <v>48</v>
      </c>
      <c r="K22" s="10" t="s">
        <v>13</v>
      </c>
      <c r="L22" s="10">
        <v>36</v>
      </c>
      <c r="M22" s="10">
        <v>36</v>
      </c>
      <c r="N22" s="10">
        <v>2</v>
      </c>
      <c r="O22" s="10">
        <v>36</v>
      </c>
      <c r="P22" s="10" t="s">
        <v>13</v>
      </c>
      <c r="Q22" s="10" t="s">
        <v>54</v>
      </c>
      <c r="R22" s="10"/>
      <c r="S22" s="10" t="s">
        <v>51</v>
      </c>
      <c r="T22" s="10">
        <v>2025</v>
      </c>
    </row>
    <row r="23" spans="1:20" x14ac:dyDescent="0.25">
      <c r="A23" s="10"/>
      <c r="B23" s="10" t="s">
        <v>33</v>
      </c>
      <c r="C23">
        <v>288</v>
      </c>
      <c r="D23" s="10">
        <v>0</v>
      </c>
      <c r="E23" s="10">
        <v>3</v>
      </c>
      <c r="F23" s="19">
        <v>46003.603715277779</v>
      </c>
      <c r="G23" s="10" t="s">
        <v>13</v>
      </c>
      <c r="H23" s="10" t="s">
        <v>13</v>
      </c>
      <c r="I23" s="10">
        <v>36</v>
      </c>
      <c r="J23" s="10">
        <v>48</v>
      </c>
      <c r="K23" s="10" t="s">
        <v>13</v>
      </c>
      <c r="L23" s="10">
        <v>36</v>
      </c>
      <c r="M23" s="10">
        <v>36</v>
      </c>
      <c r="N23" s="10">
        <v>2</v>
      </c>
      <c r="O23" s="10">
        <v>36</v>
      </c>
      <c r="P23" s="10" t="s">
        <v>13</v>
      </c>
      <c r="Q23" s="10" t="s">
        <v>54</v>
      </c>
      <c r="R23" s="10"/>
      <c r="S23" s="10" t="s">
        <v>51</v>
      </c>
      <c r="T23" s="10">
        <v>2025</v>
      </c>
    </row>
    <row r="24" spans="1:20" x14ac:dyDescent="0.25">
      <c r="A24" s="15"/>
      <c r="B24" s="15" t="s">
        <v>32</v>
      </c>
      <c r="C24" s="15">
        <f>196</f>
        <v>196</v>
      </c>
      <c r="D24" s="15"/>
      <c r="E24" s="15">
        <v>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 t="s">
        <v>55</v>
      </c>
      <c r="R24" s="15"/>
      <c r="S24" s="15" t="s">
        <v>35</v>
      </c>
      <c r="T24" s="15">
        <v>2025</v>
      </c>
    </row>
    <row r="25" spans="1:20" x14ac:dyDescent="0.25">
      <c r="A25" s="15"/>
      <c r="B25" s="15" t="s">
        <v>33</v>
      </c>
      <c r="C25" s="15">
        <f>576-36</f>
        <v>540</v>
      </c>
      <c r="D25" s="15"/>
      <c r="E25" s="15">
        <v>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 t="s">
        <v>55</v>
      </c>
      <c r="R25" s="15"/>
      <c r="S25" s="15" t="s">
        <v>35</v>
      </c>
      <c r="T25" s="15">
        <v>2025</v>
      </c>
    </row>
    <row r="38" spans="1:8" x14ac:dyDescent="0.25">
      <c r="A38" s="25" t="s">
        <v>58</v>
      </c>
      <c r="B38" s="25"/>
      <c r="C38" s="25"/>
      <c r="D38" s="25"/>
      <c r="E38" s="25"/>
      <c r="F38" s="8"/>
    </row>
    <row r="39" spans="1:8" x14ac:dyDescent="0.25">
      <c r="A39" s="5" t="s">
        <v>0</v>
      </c>
      <c r="B39" s="5" t="s">
        <v>15</v>
      </c>
      <c r="C39" s="5" t="s">
        <v>16</v>
      </c>
      <c r="D39" s="5" t="s">
        <v>39</v>
      </c>
      <c r="E39" s="5" t="s">
        <v>30</v>
      </c>
      <c r="F39" s="5" t="s">
        <v>3</v>
      </c>
    </row>
    <row r="40" spans="1:8" x14ac:dyDescent="0.25">
      <c r="A40">
        <v>17</v>
      </c>
      <c r="B40" t="s">
        <v>34</v>
      </c>
      <c r="C40">
        <v>2025</v>
      </c>
      <c r="D40" t="s">
        <v>40</v>
      </c>
      <c r="E40" t="s">
        <v>41</v>
      </c>
      <c r="F40" t="s">
        <v>42</v>
      </c>
    </row>
    <row r="41" spans="1:8" x14ac:dyDescent="0.25">
      <c r="A41">
        <v>18</v>
      </c>
      <c r="B41" t="s">
        <v>34</v>
      </c>
      <c r="C41">
        <v>2025</v>
      </c>
      <c r="D41" t="s">
        <v>64</v>
      </c>
      <c r="E41" t="s">
        <v>41</v>
      </c>
      <c r="F41" t="s">
        <v>42</v>
      </c>
    </row>
    <row r="42" spans="1:8" x14ac:dyDescent="0.25">
      <c r="A42">
        <v>19</v>
      </c>
      <c r="B42" t="s">
        <v>37</v>
      </c>
      <c r="C42">
        <v>2025</v>
      </c>
      <c r="D42" t="s">
        <v>40</v>
      </c>
      <c r="E42" t="s">
        <v>60</v>
      </c>
      <c r="F42" t="s">
        <v>42</v>
      </c>
    </row>
    <row r="43" spans="1:8" x14ac:dyDescent="0.25">
      <c r="A43">
        <v>20</v>
      </c>
      <c r="B43" t="s">
        <v>37</v>
      </c>
      <c r="C43">
        <v>2025</v>
      </c>
      <c r="D43" t="s">
        <v>64</v>
      </c>
      <c r="E43" t="s">
        <v>60</v>
      </c>
      <c r="F43" t="s">
        <v>42</v>
      </c>
    </row>
    <row r="44" spans="1:8" x14ac:dyDescent="0.25">
      <c r="A44">
        <v>21</v>
      </c>
      <c r="B44" t="s">
        <v>51</v>
      </c>
      <c r="C44">
        <v>2025</v>
      </c>
      <c r="D44" t="s">
        <v>40</v>
      </c>
      <c r="E44" t="s">
        <v>61</v>
      </c>
      <c r="F44" t="s">
        <v>42</v>
      </c>
    </row>
    <row r="45" spans="1:8" x14ac:dyDescent="0.25">
      <c r="A45">
        <v>22</v>
      </c>
      <c r="B45" t="s">
        <v>51</v>
      </c>
      <c r="C45">
        <v>2025</v>
      </c>
      <c r="D45" t="s">
        <v>64</v>
      </c>
      <c r="E45" t="s">
        <v>61</v>
      </c>
      <c r="F45" t="s">
        <v>42</v>
      </c>
    </row>
    <row r="48" spans="1:8" x14ac:dyDescent="0.25">
      <c r="A48" s="8" t="s">
        <v>59</v>
      </c>
      <c r="B48" s="8"/>
      <c r="C48" s="8"/>
      <c r="D48" s="8"/>
      <c r="E48" s="8"/>
      <c r="F48" s="8"/>
      <c r="G48" s="8"/>
      <c r="H48" s="8"/>
    </row>
    <row r="49" spans="1:19" x14ac:dyDescent="0.25">
      <c r="A49" s="5" t="s">
        <v>0</v>
      </c>
      <c r="B49" s="5" t="s">
        <v>43</v>
      </c>
      <c r="C49" s="5" t="s">
        <v>44</v>
      </c>
      <c r="D49" s="5" t="s">
        <v>47</v>
      </c>
      <c r="E49" s="5" t="s">
        <v>45</v>
      </c>
      <c r="F49" s="5" t="s">
        <v>46</v>
      </c>
      <c r="G49" s="5" t="s">
        <v>39</v>
      </c>
      <c r="H49" s="5" t="s">
        <v>30</v>
      </c>
    </row>
    <row r="50" spans="1:19" x14ac:dyDescent="0.25">
      <c r="A50" s="13"/>
      <c r="B50" s="21">
        <v>17</v>
      </c>
      <c r="C50" s="21">
        <v>16507</v>
      </c>
      <c r="D50" s="21" t="s">
        <v>13</v>
      </c>
      <c r="E50" s="21" t="s">
        <v>32</v>
      </c>
      <c r="F50" s="21">
        <v>72</v>
      </c>
      <c r="G50" s="21" t="s">
        <v>40</v>
      </c>
      <c r="H50" s="13" t="s">
        <v>41</v>
      </c>
      <c r="Q50" s="27" t="s">
        <v>83</v>
      </c>
    </row>
    <row r="51" spans="1:19" x14ac:dyDescent="0.25">
      <c r="A51" s="13"/>
      <c r="B51" s="9">
        <v>17</v>
      </c>
      <c r="C51" s="9">
        <v>16508</v>
      </c>
      <c r="D51" s="21" t="s">
        <v>13</v>
      </c>
      <c r="E51" s="17" t="s">
        <v>33</v>
      </c>
      <c r="F51" s="9">
        <v>144</v>
      </c>
      <c r="G51" s="9" t="s">
        <v>40</v>
      </c>
      <c r="H51" s="13" t="s">
        <v>41</v>
      </c>
      <c r="Q51" s="27"/>
    </row>
    <row r="52" spans="1:19" x14ac:dyDescent="0.25">
      <c r="A52" s="13"/>
      <c r="B52" s="17">
        <v>18</v>
      </c>
      <c r="C52" s="17">
        <v>16507</v>
      </c>
      <c r="D52" s="17" t="s">
        <v>36</v>
      </c>
      <c r="E52" s="17" t="s">
        <v>32</v>
      </c>
      <c r="F52" s="2">
        <v>36</v>
      </c>
      <c r="G52" s="17" t="s">
        <v>64</v>
      </c>
      <c r="H52" s="13" t="s">
        <v>41</v>
      </c>
      <c r="Q52" s="27"/>
    </row>
    <row r="53" spans="1:19" x14ac:dyDescent="0.25">
      <c r="A53" s="13"/>
      <c r="B53" s="17">
        <v>18</v>
      </c>
      <c r="C53" s="17">
        <v>16507</v>
      </c>
      <c r="D53" s="17" t="s">
        <v>38</v>
      </c>
      <c r="E53" s="17" t="s">
        <v>32</v>
      </c>
      <c r="F53" s="2">
        <v>36</v>
      </c>
      <c r="G53" s="17" t="s">
        <v>64</v>
      </c>
      <c r="H53" s="13" t="s">
        <v>41</v>
      </c>
      <c r="Q53" s="27"/>
    </row>
    <row r="54" spans="1:19" x14ac:dyDescent="0.25">
      <c r="A54" s="13"/>
      <c r="B54" s="17"/>
      <c r="C54" s="17"/>
      <c r="D54" s="17"/>
      <c r="E54" s="17"/>
      <c r="F54" s="2"/>
      <c r="G54" s="17"/>
      <c r="H54" s="13"/>
      <c r="Q54" s="27"/>
    </row>
    <row r="55" spans="1:19" x14ac:dyDescent="0.25">
      <c r="A55" s="13"/>
      <c r="B55" s="17">
        <v>18</v>
      </c>
      <c r="C55" s="17">
        <v>16508</v>
      </c>
      <c r="D55" s="17" t="s">
        <v>38</v>
      </c>
      <c r="E55" s="17" t="s">
        <v>33</v>
      </c>
      <c r="F55" s="17">
        <v>108</v>
      </c>
      <c r="G55" s="17" t="s">
        <v>64</v>
      </c>
      <c r="H55" s="13" t="s">
        <v>41</v>
      </c>
      <c r="Q55" s="27"/>
    </row>
    <row r="56" spans="1:19" x14ac:dyDescent="0.25">
      <c r="A56" s="13"/>
      <c r="B56" s="17">
        <v>18</v>
      </c>
      <c r="C56" s="17">
        <v>16508</v>
      </c>
      <c r="D56" s="17" t="s">
        <v>38</v>
      </c>
      <c r="E56" s="17" t="s">
        <v>33</v>
      </c>
      <c r="F56" s="17">
        <v>36</v>
      </c>
      <c r="G56" s="17" t="s">
        <v>64</v>
      </c>
      <c r="H56" s="13" t="s">
        <v>41</v>
      </c>
      <c r="Q56" s="27"/>
    </row>
    <row r="57" spans="1:19" x14ac:dyDescent="0.25">
      <c r="A57" s="13"/>
      <c r="B57" s="17"/>
      <c r="C57" s="17"/>
      <c r="D57" s="17"/>
      <c r="E57" s="17"/>
      <c r="F57" s="17"/>
      <c r="G57" s="17"/>
      <c r="H57" s="13"/>
      <c r="Q57" s="20"/>
    </row>
    <row r="58" spans="1:19" x14ac:dyDescent="0.25">
      <c r="A58" s="9"/>
      <c r="B58" s="9">
        <v>19</v>
      </c>
      <c r="C58" s="9">
        <v>16507</v>
      </c>
      <c r="D58" s="9" t="s">
        <v>13</v>
      </c>
      <c r="E58" s="9" t="s">
        <v>32</v>
      </c>
      <c r="F58" s="9">
        <v>36</v>
      </c>
      <c r="G58" s="9" t="s">
        <v>40</v>
      </c>
      <c r="H58" s="9" t="s">
        <v>60</v>
      </c>
      <c r="Q58" s="27" t="s">
        <v>84</v>
      </c>
    </row>
    <row r="59" spans="1:19" x14ac:dyDescent="0.25">
      <c r="B59" s="9">
        <v>19</v>
      </c>
      <c r="C59" s="9">
        <v>16508</v>
      </c>
      <c r="D59" s="21" t="s">
        <v>13</v>
      </c>
      <c r="E59" s="17" t="s">
        <v>33</v>
      </c>
      <c r="F59" s="9">
        <v>612</v>
      </c>
      <c r="G59" s="9" t="s">
        <v>40</v>
      </c>
      <c r="H59" s="9" t="s">
        <v>60</v>
      </c>
      <c r="Q59" s="27"/>
    </row>
    <row r="60" spans="1:19" x14ac:dyDescent="0.25">
      <c r="B60" s="9"/>
      <c r="C60" s="9"/>
      <c r="D60" s="21"/>
      <c r="E60" s="17"/>
      <c r="F60" s="9"/>
      <c r="G60" s="9"/>
      <c r="H60" s="9"/>
      <c r="Q60" s="27"/>
      <c r="S60">
        <f>252+180+36</f>
        <v>468</v>
      </c>
    </row>
    <row r="61" spans="1:19" x14ac:dyDescent="0.25">
      <c r="A61" s="13"/>
      <c r="B61" s="17">
        <v>20</v>
      </c>
      <c r="C61" s="17">
        <v>16507</v>
      </c>
      <c r="D61" s="17" t="s">
        <v>38</v>
      </c>
      <c r="E61" s="17" t="s">
        <v>32</v>
      </c>
      <c r="F61" s="17">
        <v>36</v>
      </c>
      <c r="G61" s="17" t="s">
        <v>64</v>
      </c>
      <c r="H61" s="9" t="s">
        <v>60</v>
      </c>
      <c r="Q61" s="27"/>
    </row>
    <row r="62" spans="1:19" x14ac:dyDescent="0.25">
      <c r="A62" s="13"/>
      <c r="B62" s="17">
        <v>20</v>
      </c>
      <c r="C62" s="17">
        <v>16508</v>
      </c>
      <c r="D62" s="17" t="s">
        <v>38</v>
      </c>
      <c r="E62" s="17" t="s">
        <v>33</v>
      </c>
      <c r="F62" s="17">
        <v>108</v>
      </c>
      <c r="G62" s="17" t="s">
        <v>64</v>
      </c>
      <c r="H62" s="9" t="s">
        <v>60</v>
      </c>
      <c r="Q62" s="27"/>
    </row>
    <row r="63" spans="1:19" x14ac:dyDescent="0.25">
      <c r="A63" s="13"/>
      <c r="B63" s="17">
        <v>20</v>
      </c>
      <c r="C63" s="17">
        <v>16508</v>
      </c>
      <c r="D63" s="17" t="s">
        <v>53</v>
      </c>
      <c r="E63" s="17" t="s">
        <v>33</v>
      </c>
      <c r="F63" s="17">
        <v>216</v>
      </c>
      <c r="G63" s="17" t="s">
        <v>64</v>
      </c>
      <c r="H63" s="9" t="s">
        <v>60</v>
      </c>
      <c r="Q63" s="27"/>
    </row>
    <row r="64" spans="1:19" x14ac:dyDescent="0.25">
      <c r="A64" s="13"/>
      <c r="B64" s="17">
        <v>20</v>
      </c>
      <c r="C64" s="17">
        <v>16508</v>
      </c>
      <c r="D64" s="17" t="s">
        <v>54</v>
      </c>
      <c r="E64" s="17" t="s">
        <v>33</v>
      </c>
      <c r="F64" s="17">
        <v>252</v>
      </c>
      <c r="G64" s="17" t="s">
        <v>64</v>
      </c>
      <c r="H64" s="9" t="s">
        <v>60</v>
      </c>
      <c r="Q64" s="27"/>
    </row>
    <row r="65" spans="1:19" x14ac:dyDescent="0.25">
      <c r="A65" s="13"/>
      <c r="B65">
        <v>21</v>
      </c>
      <c r="C65" s="9">
        <v>16507</v>
      </c>
      <c r="D65" s="9" t="s">
        <v>13</v>
      </c>
      <c r="E65" s="9" t="s">
        <v>32</v>
      </c>
      <c r="F65" s="9">
        <v>648</v>
      </c>
      <c r="G65" s="9" t="s">
        <v>40</v>
      </c>
      <c r="H65" s="13" t="s">
        <v>61</v>
      </c>
      <c r="Q65" s="27" t="s">
        <v>85</v>
      </c>
      <c r="R65" s="23">
        <f>648-452</f>
        <v>196</v>
      </c>
    </row>
    <row r="66" spans="1:19" x14ac:dyDescent="0.25">
      <c r="A66" s="13"/>
      <c r="B66">
        <v>21</v>
      </c>
      <c r="C66" s="9">
        <v>16508</v>
      </c>
      <c r="D66" s="21" t="s">
        <v>13</v>
      </c>
      <c r="E66" s="9" t="s">
        <v>33</v>
      </c>
      <c r="F66" s="9">
        <v>576</v>
      </c>
      <c r="G66" s="9" t="s">
        <v>40</v>
      </c>
      <c r="H66" s="13" t="s">
        <v>61</v>
      </c>
      <c r="Q66" s="27"/>
    </row>
    <row r="67" spans="1:19" x14ac:dyDescent="0.25">
      <c r="A67" s="13"/>
      <c r="B67" s="17">
        <v>22</v>
      </c>
      <c r="C67" s="17">
        <v>16507</v>
      </c>
      <c r="D67" s="17" t="s">
        <v>38</v>
      </c>
      <c r="E67" s="17" t="s">
        <v>32</v>
      </c>
      <c r="F67" s="17">
        <v>36</v>
      </c>
      <c r="G67" s="17" t="s">
        <v>64</v>
      </c>
      <c r="H67" s="13" t="s">
        <v>61</v>
      </c>
      <c r="Q67" s="27"/>
    </row>
    <row r="68" spans="1:19" x14ac:dyDescent="0.25">
      <c r="A68" s="13"/>
      <c r="B68" s="17">
        <v>22</v>
      </c>
      <c r="C68" s="17">
        <v>16508</v>
      </c>
      <c r="D68" s="17" t="s">
        <v>53</v>
      </c>
      <c r="E68" s="17" t="s">
        <v>32</v>
      </c>
      <c r="F68" s="17">
        <v>180</v>
      </c>
      <c r="G68" s="17" t="s">
        <v>64</v>
      </c>
      <c r="H68" s="13" t="s">
        <v>61</v>
      </c>
      <c r="Q68" s="27"/>
    </row>
    <row r="69" spans="1:19" x14ac:dyDescent="0.25">
      <c r="A69" s="13"/>
      <c r="B69" s="17"/>
      <c r="C69" s="17"/>
      <c r="D69" s="17" t="s">
        <v>54</v>
      </c>
      <c r="E69" s="17" t="s">
        <v>32</v>
      </c>
      <c r="F69" s="17">
        <v>0</v>
      </c>
      <c r="G69" s="17" t="s">
        <v>86</v>
      </c>
      <c r="H69" s="13"/>
      <c r="Q69" s="20"/>
    </row>
    <row r="70" spans="1:19" x14ac:dyDescent="0.25">
      <c r="A70" s="13"/>
      <c r="B70" s="17">
        <v>22</v>
      </c>
      <c r="C70" s="17">
        <v>16508</v>
      </c>
      <c r="D70" s="17" t="s">
        <v>54</v>
      </c>
      <c r="E70" s="17" t="s">
        <v>33</v>
      </c>
      <c r="F70" s="17">
        <v>36</v>
      </c>
      <c r="G70" s="17" t="s">
        <v>64</v>
      </c>
      <c r="H70" s="13" t="s">
        <v>61</v>
      </c>
      <c r="Q70" s="22"/>
      <c r="S70">
        <v>648</v>
      </c>
    </row>
    <row r="71" spans="1:19" x14ac:dyDescent="0.25">
      <c r="A71" s="13"/>
      <c r="Q71" s="22"/>
      <c r="S71">
        <v>0</v>
      </c>
    </row>
  </sheetData>
  <mergeCells count="6">
    <mergeCell ref="A1:K1"/>
    <mergeCell ref="Q50:Q56"/>
    <mergeCell ref="Q58:Q64"/>
    <mergeCell ref="Q65:Q68"/>
    <mergeCell ref="A14:T14"/>
    <mergeCell ref="A38:E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topLeftCell="E1" workbookViewId="0">
      <selection activeCell="A15" sqref="A15:T24"/>
    </sheetView>
  </sheetViews>
  <sheetFormatPr defaultRowHeight="15" x14ac:dyDescent="0.25"/>
  <cols>
    <col min="1" max="1" width="2.7109375" bestFit="1" customWidth="1"/>
    <col min="2" max="2" width="11.85546875" bestFit="1" customWidth="1"/>
    <col min="3" max="3" width="12.7109375" bestFit="1" customWidth="1"/>
    <col min="4" max="4" width="12.5703125" bestFit="1" customWidth="1"/>
    <col min="5" max="5" width="35.85546875" bestFit="1" customWidth="1"/>
    <col min="6" max="6" width="7.5703125" bestFit="1" customWidth="1"/>
    <col min="7" max="7" width="18.85546875" bestFit="1" customWidth="1"/>
    <col min="8" max="8" width="15.85546875" bestFit="1" customWidth="1"/>
    <col min="9" max="9" width="18.42578125" bestFit="1" customWidth="1"/>
    <col min="10" max="10" width="10.7109375" bestFit="1" customWidth="1"/>
    <col min="11" max="11" width="10.5703125" bestFit="1" customWidth="1"/>
    <col min="12" max="12" width="12.28515625" bestFit="1" customWidth="1"/>
    <col min="13" max="13" width="10.42578125" bestFit="1" customWidth="1"/>
    <col min="14" max="14" width="14" bestFit="1" customWidth="1"/>
    <col min="16" max="16" width="13.85546875" bestFit="1" customWidth="1"/>
    <col min="17" max="17" width="11.140625" bestFit="1" customWidth="1"/>
    <col min="18" max="18" width="12" bestFit="1" customWidth="1"/>
    <col min="19" max="19" width="6.85546875" bestFit="1" customWidth="1"/>
  </cols>
  <sheetData>
    <row r="1" spans="1:20" x14ac:dyDescent="0.25">
      <c r="A1" s="25" t="s">
        <v>57</v>
      </c>
      <c r="B1" s="26"/>
      <c r="C1" s="26"/>
      <c r="D1" s="26"/>
      <c r="E1" s="26"/>
      <c r="F1" s="26"/>
      <c r="G1" s="26"/>
      <c r="H1" s="26"/>
      <c r="I1" s="26"/>
      <c r="J1" s="26"/>
    </row>
    <row r="2" spans="1:2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20" x14ac:dyDescent="0.25">
      <c r="B3" s="10" t="s">
        <v>67</v>
      </c>
      <c r="C3" s="10" t="s">
        <v>66</v>
      </c>
      <c r="D3" s="10" t="s">
        <v>74</v>
      </c>
      <c r="E3" t="s">
        <v>11</v>
      </c>
      <c r="F3" t="s">
        <v>12</v>
      </c>
      <c r="G3" t="s">
        <v>13</v>
      </c>
      <c r="H3">
        <v>1</v>
      </c>
      <c r="I3">
        <v>2025</v>
      </c>
      <c r="J3">
        <v>2025</v>
      </c>
    </row>
    <row r="4" spans="1:20" x14ac:dyDescent="0.25">
      <c r="A4" s="14"/>
      <c r="B4" s="10" t="s">
        <v>68</v>
      </c>
      <c r="C4" s="10" t="s">
        <v>34</v>
      </c>
      <c r="D4" s="10" t="s">
        <v>75</v>
      </c>
      <c r="E4" t="s">
        <v>11</v>
      </c>
      <c r="F4" t="s">
        <v>12</v>
      </c>
      <c r="G4" t="s">
        <v>13</v>
      </c>
      <c r="H4">
        <v>1</v>
      </c>
      <c r="I4">
        <v>2025</v>
      </c>
      <c r="J4">
        <v>2025</v>
      </c>
    </row>
    <row r="5" spans="1:20" x14ac:dyDescent="0.25">
      <c r="B5" s="10" t="s">
        <v>65</v>
      </c>
      <c r="C5" s="10" t="s">
        <v>37</v>
      </c>
      <c r="D5" s="10" t="s">
        <v>76</v>
      </c>
      <c r="E5" t="s">
        <v>11</v>
      </c>
      <c r="F5" t="s">
        <v>12</v>
      </c>
      <c r="G5" t="s">
        <v>13</v>
      </c>
      <c r="H5">
        <v>1</v>
      </c>
      <c r="I5">
        <v>2025</v>
      </c>
      <c r="J5">
        <v>2025</v>
      </c>
    </row>
    <row r="6" spans="1:20" x14ac:dyDescent="0.25">
      <c r="B6" s="10" t="s">
        <v>66</v>
      </c>
      <c r="C6" s="10" t="s">
        <v>51</v>
      </c>
      <c r="D6" s="10" t="s">
        <v>77</v>
      </c>
      <c r="E6" t="s">
        <v>11</v>
      </c>
      <c r="F6" t="s">
        <v>12</v>
      </c>
      <c r="G6" t="s">
        <v>13</v>
      </c>
      <c r="H6">
        <v>1</v>
      </c>
      <c r="I6">
        <v>2025</v>
      </c>
      <c r="J6">
        <v>2025</v>
      </c>
    </row>
    <row r="7" spans="1:20" x14ac:dyDescent="0.25">
      <c r="B7" s="9" t="s">
        <v>34</v>
      </c>
      <c r="C7" s="9" t="s">
        <v>35</v>
      </c>
      <c r="D7" s="9" t="s">
        <v>78</v>
      </c>
      <c r="E7" t="s">
        <v>11</v>
      </c>
      <c r="F7" t="s">
        <v>12</v>
      </c>
      <c r="G7" t="s">
        <v>13</v>
      </c>
      <c r="H7">
        <v>1</v>
      </c>
      <c r="I7">
        <v>2025</v>
      </c>
      <c r="J7">
        <v>2025</v>
      </c>
    </row>
    <row r="8" spans="1:20" x14ac:dyDescent="0.25">
      <c r="B8" s="9" t="s">
        <v>37</v>
      </c>
      <c r="C8" s="9" t="s">
        <v>69</v>
      </c>
      <c r="D8" s="9" t="s">
        <v>79</v>
      </c>
      <c r="E8" t="s">
        <v>11</v>
      </c>
      <c r="F8" t="s">
        <v>12</v>
      </c>
      <c r="G8" t="s">
        <v>13</v>
      </c>
      <c r="H8">
        <v>1</v>
      </c>
      <c r="I8">
        <v>2025</v>
      </c>
      <c r="J8">
        <v>2025</v>
      </c>
    </row>
    <row r="9" spans="1:20" x14ac:dyDescent="0.25">
      <c r="B9" s="9" t="s">
        <v>51</v>
      </c>
      <c r="C9" s="9" t="s">
        <v>48</v>
      </c>
      <c r="D9" s="9" t="s">
        <v>80</v>
      </c>
      <c r="E9" t="s">
        <v>11</v>
      </c>
      <c r="F9" t="s">
        <v>12</v>
      </c>
      <c r="G9" t="s">
        <v>13</v>
      </c>
      <c r="H9">
        <v>1</v>
      </c>
      <c r="I9">
        <v>2025</v>
      </c>
      <c r="J9">
        <v>2025</v>
      </c>
    </row>
    <row r="10" spans="1:20" x14ac:dyDescent="0.25">
      <c r="B10" s="9" t="s">
        <v>35</v>
      </c>
      <c r="C10" s="9" t="s">
        <v>49</v>
      </c>
      <c r="D10" s="9" t="s">
        <v>81</v>
      </c>
      <c r="E10" t="s">
        <v>11</v>
      </c>
      <c r="F10" t="s">
        <v>12</v>
      </c>
      <c r="G10" t="s">
        <v>13</v>
      </c>
      <c r="H10">
        <v>1</v>
      </c>
      <c r="I10">
        <v>2025</v>
      </c>
      <c r="J10">
        <v>2025</v>
      </c>
    </row>
    <row r="11" spans="1:20" x14ac:dyDescent="0.25">
      <c r="B11" s="9" t="s">
        <v>69</v>
      </c>
      <c r="C11" s="9" t="s">
        <v>50</v>
      </c>
      <c r="D11" s="9" t="s">
        <v>82</v>
      </c>
      <c r="E11" t="s">
        <v>11</v>
      </c>
      <c r="F11" t="s">
        <v>12</v>
      </c>
      <c r="G11" t="s">
        <v>13</v>
      </c>
      <c r="H11">
        <v>1</v>
      </c>
      <c r="I11">
        <v>2025</v>
      </c>
      <c r="J11">
        <v>2025</v>
      </c>
    </row>
    <row r="13" spans="1:20" x14ac:dyDescent="0.25">
      <c r="A13" s="25" t="s">
        <v>56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25">
      <c r="A14" s="5" t="s">
        <v>0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20</v>
      </c>
      <c r="I14" s="5" t="s">
        <v>21</v>
      </c>
      <c r="J14" s="5" t="s">
        <v>22</v>
      </c>
      <c r="K14" s="5" t="s">
        <v>11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</row>
    <row r="15" spans="1:20" x14ac:dyDescent="0.25">
      <c r="A15" s="3"/>
      <c r="B15" s="15" t="s">
        <v>32</v>
      </c>
      <c r="C15" s="15" t="s">
        <v>66</v>
      </c>
      <c r="D15" s="9">
        <v>2025</v>
      </c>
      <c r="E15" s="15">
        <v>36</v>
      </c>
      <c r="F15" s="15">
        <v>36</v>
      </c>
      <c r="G15" s="2">
        <v>3</v>
      </c>
      <c r="H15" s="6">
        <v>46000.603715277779</v>
      </c>
      <c r="I15" s="3" t="s">
        <v>13</v>
      </c>
      <c r="J15" s="3" t="s">
        <v>13</v>
      </c>
      <c r="K15" s="15">
        <v>36</v>
      </c>
      <c r="L15" s="15">
        <v>36</v>
      </c>
      <c r="M15" s="3" t="s">
        <v>13</v>
      </c>
      <c r="N15" s="15">
        <v>36</v>
      </c>
      <c r="O15" s="15">
        <v>36</v>
      </c>
      <c r="P15" s="7">
        <v>56</v>
      </c>
      <c r="Q15" s="15">
        <v>36</v>
      </c>
      <c r="R15" s="3" t="s">
        <v>13</v>
      </c>
      <c r="S15" s="15" t="s">
        <v>36</v>
      </c>
      <c r="T15" s="3"/>
    </row>
    <row r="16" spans="1:20" x14ac:dyDescent="0.25">
      <c r="A16" s="3"/>
      <c r="B16" s="15" t="s">
        <v>33</v>
      </c>
      <c r="C16" s="15" t="s">
        <v>66</v>
      </c>
      <c r="D16" s="9">
        <v>2025</v>
      </c>
      <c r="E16" s="15">
        <v>72</v>
      </c>
      <c r="F16" s="15">
        <v>72</v>
      </c>
      <c r="G16" s="2">
        <v>3</v>
      </c>
      <c r="H16" s="6">
        <v>46001.603715277779</v>
      </c>
      <c r="I16" s="3" t="s">
        <v>13</v>
      </c>
      <c r="J16" s="3" t="s">
        <v>13</v>
      </c>
      <c r="K16" s="15">
        <v>72</v>
      </c>
      <c r="L16" s="15">
        <v>72</v>
      </c>
      <c r="M16" s="3" t="s">
        <v>13</v>
      </c>
      <c r="N16" s="15">
        <v>36</v>
      </c>
      <c r="O16" s="15">
        <v>72</v>
      </c>
      <c r="P16" s="7">
        <v>56</v>
      </c>
      <c r="Q16" s="15">
        <v>36</v>
      </c>
      <c r="R16" s="3" t="s">
        <v>13</v>
      </c>
      <c r="S16" s="15" t="s">
        <v>36</v>
      </c>
      <c r="T16" s="3"/>
    </row>
    <row r="17" spans="1:20" x14ac:dyDescent="0.25">
      <c r="A17" s="3"/>
      <c r="B17" s="10" t="s">
        <v>32</v>
      </c>
      <c r="C17" s="10" t="s">
        <v>34</v>
      </c>
      <c r="D17" s="10">
        <v>2025</v>
      </c>
      <c r="E17">
        <v>108</v>
      </c>
      <c r="F17">
        <v>108</v>
      </c>
      <c r="G17" s="2">
        <v>3</v>
      </c>
      <c r="H17" s="6">
        <v>46000.603715277779</v>
      </c>
      <c r="I17" s="3" t="s">
        <v>13</v>
      </c>
      <c r="J17" s="3" t="s">
        <v>13</v>
      </c>
      <c r="K17">
        <v>108</v>
      </c>
      <c r="L17">
        <v>108</v>
      </c>
      <c r="M17" s="3" t="s">
        <v>13</v>
      </c>
      <c r="N17" s="15">
        <v>36</v>
      </c>
      <c r="O17">
        <v>108</v>
      </c>
      <c r="P17" s="7">
        <v>57</v>
      </c>
      <c r="Q17" s="15">
        <v>36</v>
      </c>
      <c r="R17" s="3" t="s">
        <v>13</v>
      </c>
      <c r="S17" s="10" t="s">
        <v>38</v>
      </c>
      <c r="T17" s="3"/>
    </row>
    <row r="18" spans="1:20" x14ac:dyDescent="0.25">
      <c r="A18" s="3"/>
      <c r="B18" s="10" t="s">
        <v>33</v>
      </c>
      <c r="C18" s="10" t="s">
        <v>34</v>
      </c>
      <c r="D18" s="10">
        <v>2025</v>
      </c>
      <c r="E18">
        <v>144</v>
      </c>
      <c r="F18">
        <v>144</v>
      </c>
      <c r="G18" s="2">
        <v>3</v>
      </c>
      <c r="H18" s="6">
        <v>46001.603715277779</v>
      </c>
      <c r="I18" s="3" t="s">
        <v>13</v>
      </c>
      <c r="J18" s="3" t="s">
        <v>13</v>
      </c>
      <c r="K18">
        <v>144</v>
      </c>
      <c r="L18">
        <v>144</v>
      </c>
      <c r="M18" s="3" t="s">
        <v>13</v>
      </c>
      <c r="N18" s="15">
        <v>36</v>
      </c>
      <c r="O18">
        <v>144</v>
      </c>
      <c r="P18" s="7">
        <v>57</v>
      </c>
      <c r="Q18" s="15">
        <v>36</v>
      </c>
      <c r="R18" s="3" t="s">
        <v>13</v>
      </c>
      <c r="S18" s="10" t="s">
        <v>38</v>
      </c>
      <c r="T18" s="3"/>
    </row>
    <row r="19" spans="1:20" x14ac:dyDescent="0.25">
      <c r="A19" s="3"/>
      <c r="B19" s="9" t="s">
        <v>32</v>
      </c>
      <c r="C19" s="9" t="s">
        <v>37</v>
      </c>
      <c r="D19" s="9">
        <v>2025</v>
      </c>
      <c r="E19">
        <v>180</v>
      </c>
      <c r="F19">
        <v>180</v>
      </c>
      <c r="G19" s="2">
        <v>3</v>
      </c>
      <c r="H19" s="6">
        <v>46000.603715277779</v>
      </c>
      <c r="I19" s="3" t="s">
        <v>13</v>
      </c>
      <c r="J19" s="3" t="s">
        <v>13</v>
      </c>
      <c r="K19">
        <v>180</v>
      </c>
      <c r="L19">
        <v>180</v>
      </c>
      <c r="M19" s="3" t="s">
        <v>13</v>
      </c>
      <c r="N19" s="15">
        <v>36</v>
      </c>
      <c r="O19">
        <v>180</v>
      </c>
      <c r="P19" s="7">
        <v>58</v>
      </c>
      <c r="Q19" s="15">
        <v>36</v>
      </c>
      <c r="R19" s="3" t="s">
        <v>13</v>
      </c>
      <c r="S19" s="9" t="s">
        <v>53</v>
      </c>
      <c r="T19" s="3"/>
    </row>
    <row r="20" spans="1:20" x14ac:dyDescent="0.25">
      <c r="A20" s="3"/>
      <c r="B20" s="9" t="s">
        <v>33</v>
      </c>
      <c r="C20" s="9" t="s">
        <v>37</v>
      </c>
      <c r="D20" s="9">
        <v>2025</v>
      </c>
      <c r="E20">
        <v>216</v>
      </c>
      <c r="F20">
        <v>216</v>
      </c>
      <c r="G20" s="2">
        <v>3</v>
      </c>
      <c r="H20" s="6">
        <v>46001.603715277779</v>
      </c>
      <c r="I20" s="3" t="s">
        <v>13</v>
      </c>
      <c r="J20" s="3" t="s">
        <v>13</v>
      </c>
      <c r="K20">
        <v>216</v>
      </c>
      <c r="L20">
        <v>216</v>
      </c>
      <c r="M20" s="3" t="s">
        <v>13</v>
      </c>
      <c r="N20" s="15">
        <v>36</v>
      </c>
      <c r="O20">
        <v>216</v>
      </c>
      <c r="P20" s="7">
        <v>58</v>
      </c>
      <c r="Q20" s="15">
        <v>36</v>
      </c>
      <c r="R20" s="3" t="s">
        <v>13</v>
      </c>
      <c r="S20" s="9" t="s">
        <v>53</v>
      </c>
      <c r="T20" s="3"/>
    </row>
    <row r="21" spans="1:20" x14ac:dyDescent="0.25">
      <c r="B21" s="10" t="s">
        <v>32</v>
      </c>
      <c r="C21" s="10" t="s">
        <v>51</v>
      </c>
      <c r="D21" s="10">
        <v>2025</v>
      </c>
      <c r="E21">
        <v>252</v>
      </c>
      <c r="F21">
        <v>252</v>
      </c>
      <c r="G21" s="2">
        <v>3</v>
      </c>
      <c r="H21" s="4">
        <v>46002.603715277779</v>
      </c>
      <c r="I21" t="s">
        <v>13</v>
      </c>
      <c r="J21" t="s">
        <v>13</v>
      </c>
      <c r="K21">
        <v>252</v>
      </c>
      <c r="L21">
        <v>252</v>
      </c>
      <c r="M21" t="s">
        <v>13</v>
      </c>
      <c r="N21" s="15">
        <v>36</v>
      </c>
      <c r="O21">
        <v>252</v>
      </c>
      <c r="P21" s="7">
        <v>59</v>
      </c>
      <c r="Q21" s="15">
        <v>36</v>
      </c>
      <c r="R21" t="s">
        <v>13</v>
      </c>
      <c r="S21" s="10" t="s">
        <v>54</v>
      </c>
      <c r="T21" s="3"/>
    </row>
    <row r="22" spans="1:20" x14ac:dyDescent="0.25">
      <c r="B22" s="10" t="s">
        <v>33</v>
      </c>
      <c r="C22" s="10" t="s">
        <v>51</v>
      </c>
      <c r="D22" s="10">
        <v>2025</v>
      </c>
      <c r="E22">
        <v>288</v>
      </c>
      <c r="F22">
        <v>288</v>
      </c>
      <c r="G22" s="2">
        <v>3</v>
      </c>
      <c r="H22" s="4">
        <v>46003.603715277779</v>
      </c>
      <c r="I22" t="s">
        <v>13</v>
      </c>
      <c r="J22" t="s">
        <v>13</v>
      </c>
      <c r="K22">
        <v>288</v>
      </c>
      <c r="L22">
        <v>288</v>
      </c>
      <c r="M22" t="s">
        <v>13</v>
      </c>
      <c r="N22" s="15">
        <v>36</v>
      </c>
      <c r="O22">
        <v>288</v>
      </c>
      <c r="P22" s="7">
        <v>59</v>
      </c>
      <c r="Q22" s="15">
        <v>36</v>
      </c>
      <c r="R22" t="s">
        <v>13</v>
      </c>
      <c r="S22" s="10" t="s">
        <v>54</v>
      </c>
      <c r="T22" s="3"/>
    </row>
    <row r="23" spans="1:20" x14ac:dyDescent="0.25">
      <c r="B23" s="15" t="s">
        <v>32</v>
      </c>
      <c r="C23" s="15" t="s">
        <v>35</v>
      </c>
      <c r="D23" s="15">
        <v>2025</v>
      </c>
      <c r="E23" s="15">
        <f>196</f>
        <v>196</v>
      </c>
      <c r="F23" s="15">
        <f>196</f>
        <v>196</v>
      </c>
      <c r="G23" s="2">
        <v>3</v>
      </c>
      <c r="H23" s="4">
        <v>46004.603715277779</v>
      </c>
      <c r="I23" t="s">
        <v>13</v>
      </c>
      <c r="J23" t="s">
        <v>13</v>
      </c>
      <c r="K23" s="15">
        <f>196</f>
        <v>196</v>
      </c>
      <c r="L23" s="15">
        <f>196</f>
        <v>196</v>
      </c>
      <c r="M23" t="s">
        <v>13</v>
      </c>
      <c r="N23" s="15">
        <v>36</v>
      </c>
      <c r="O23" s="15">
        <f>196</f>
        <v>196</v>
      </c>
      <c r="P23">
        <v>60</v>
      </c>
      <c r="Q23" s="15">
        <v>36</v>
      </c>
      <c r="R23" t="s">
        <v>13</v>
      </c>
      <c r="S23" s="15" t="s">
        <v>55</v>
      </c>
      <c r="T23" s="3"/>
    </row>
    <row r="24" spans="1:20" x14ac:dyDescent="0.25">
      <c r="B24" s="15" t="s">
        <v>33</v>
      </c>
      <c r="C24" s="15" t="s">
        <v>35</v>
      </c>
      <c r="D24" s="15">
        <v>2025</v>
      </c>
      <c r="E24" s="15">
        <f>576-36</f>
        <v>540</v>
      </c>
      <c r="F24" s="15">
        <f>576-36</f>
        <v>540</v>
      </c>
      <c r="G24" s="2">
        <v>3</v>
      </c>
      <c r="H24" s="4">
        <v>46005.603715277779</v>
      </c>
      <c r="I24" t="s">
        <v>13</v>
      </c>
      <c r="J24" t="s">
        <v>13</v>
      </c>
      <c r="K24" s="15">
        <f>576-36</f>
        <v>540</v>
      </c>
      <c r="L24" s="15">
        <f>576-36</f>
        <v>540</v>
      </c>
      <c r="M24" t="s">
        <v>13</v>
      </c>
      <c r="N24" s="15">
        <v>36</v>
      </c>
      <c r="O24" s="15">
        <f>576-36</f>
        <v>540</v>
      </c>
      <c r="P24">
        <v>60</v>
      </c>
      <c r="Q24" s="15">
        <v>36</v>
      </c>
      <c r="R24" t="s">
        <v>13</v>
      </c>
      <c r="S24" s="15" t="s">
        <v>55</v>
      </c>
      <c r="T24" s="3"/>
    </row>
  </sheetData>
  <mergeCells count="2">
    <mergeCell ref="A13:T13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2026-01-07T07:37:00Z</dcterms:created>
  <dcterms:modified xsi:type="dcterms:W3CDTF">2026-01-12T12:03:29Z</dcterms:modified>
</cp:coreProperties>
</file>